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3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4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5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ussa/Desktop/"/>
    </mc:Choice>
  </mc:AlternateContent>
  <xr:revisionPtr revIDLastSave="0" documentId="13_ncr:1_{A75CE1F1-ECFA-C84E-BB82-077D1792BCFB}" xr6:coauthVersionLast="47" xr6:coauthVersionMax="47" xr10:uidLastSave="{00000000-0000-0000-0000-000000000000}"/>
  <bookViews>
    <workbookView xWindow="29400" yWindow="-2660" windowWidth="38400" windowHeight="19480" activeTab="10" xr2:uid="{CB94E2FE-A039-1A4A-B530-4D9931A47B31}"/>
  </bookViews>
  <sheets>
    <sheet name="Staff Dashboard" sheetId="15" r:id="rId1"/>
    <sheet name="Team Dashboard" sheetId="16" r:id="rId2"/>
    <sheet name="Data" sheetId="21" r:id="rId3"/>
    <sheet name="Analysis" sheetId="22" r:id="rId4"/>
    <sheet name="Kpi Indicators Per Staff" sheetId="13" r:id="rId5"/>
    <sheet name="Kpi Indicators Per Team" sheetId="14" r:id="rId6"/>
    <sheet name="Check Now 26.17 Full Analysis" sheetId="8" r:id="rId7"/>
    <sheet name="Kpi Indicators" sheetId="9" r:id="rId8"/>
    <sheet name="Capacity" sheetId="1" r:id="rId9"/>
    <sheet name="Check Now 26.17" sheetId="20" r:id="rId10"/>
    <sheet name="Check Now 26.17 Analysis" sheetId="3" r:id="rId11"/>
    <sheet name="CMMI Template" sheetId="10" r:id="rId12"/>
    <sheet name=" CMMI Productivity" sheetId="11" r:id="rId13"/>
    <sheet name="Actual SP" sheetId="12" r:id="rId14"/>
  </sheets>
  <definedNames>
    <definedName name="_xlnm._FilterDatabase" localSheetId="9" hidden="1">'Check Now 26.17'!#REF!</definedName>
    <definedName name="_xlnm._FilterDatabase" localSheetId="2" hidden="1">Data!$B$21:$S$193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22" l="1"/>
  <c r="D31" i="22"/>
  <c r="C31" i="22"/>
  <c r="Z32" i="21"/>
  <c r="W32" i="21"/>
  <c r="Z31" i="21"/>
  <c r="W31" i="21"/>
  <c r="Z30" i="21"/>
  <c r="W30" i="21"/>
  <c r="Z29" i="21"/>
  <c r="W29" i="21"/>
  <c r="Z28" i="21"/>
  <c r="W28" i="21"/>
  <c r="AC27" i="21"/>
  <c r="Z27" i="21"/>
  <c r="W27" i="21"/>
  <c r="AC26" i="21"/>
  <c r="Z26" i="21"/>
  <c r="W26" i="21"/>
  <c r="Z25" i="21"/>
  <c r="AC25" i="21" s="1"/>
  <c r="W25" i="21"/>
  <c r="Z24" i="21"/>
  <c r="W24" i="21"/>
  <c r="Z23" i="21"/>
  <c r="W23" i="21"/>
  <c r="Z22" i="21"/>
  <c r="W22" i="21"/>
  <c r="AD4" i="12"/>
  <c r="AD3" i="12"/>
  <c r="AD2" i="12"/>
  <c r="AC22" i="21" l="1"/>
  <c r="Z33" i="21"/>
  <c r="AC24" i="21"/>
  <c r="AC23" i="21"/>
  <c r="AD6" i="12"/>
  <c r="F8" i="11"/>
  <c r="G9" i="11"/>
  <c r="D11" i="11"/>
  <c r="G11" i="11"/>
  <c r="F13" i="11"/>
  <c r="G13" i="11"/>
  <c r="D15" i="11"/>
  <c r="G15" i="11"/>
  <c r="K6" i="14"/>
  <c r="K7" i="14"/>
  <c r="K8" i="14"/>
  <c r="K9" i="14"/>
  <c r="K10" i="14"/>
  <c r="K11" i="14"/>
  <c r="K12" i="14"/>
  <c r="K3" i="14"/>
  <c r="D240" i="3"/>
  <c r="D8" i="11" s="1"/>
  <c r="E240" i="3"/>
  <c r="E8" i="11" s="1"/>
  <c r="F240" i="3"/>
  <c r="G240" i="3"/>
  <c r="G8" i="11" s="1"/>
  <c r="D241" i="3"/>
  <c r="D9" i="11" s="1"/>
  <c r="E241" i="3"/>
  <c r="E9" i="11" s="1"/>
  <c r="F241" i="3"/>
  <c r="F9" i="11" s="1"/>
  <c r="G241" i="3"/>
  <c r="D242" i="3"/>
  <c r="D10" i="11" s="1"/>
  <c r="E242" i="3"/>
  <c r="E10" i="11" s="1"/>
  <c r="F242" i="3"/>
  <c r="F10" i="11" s="1"/>
  <c r="G242" i="3"/>
  <c r="G10" i="11" s="1"/>
  <c r="D243" i="3"/>
  <c r="E243" i="3"/>
  <c r="E11" i="11" s="1"/>
  <c r="F243" i="3"/>
  <c r="F11" i="11" s="1"/>
  <c r="G243" i="3"/>
  <c r="D244" i="3"/>
  <c r="D12" i="11" s="1"/>
  <c r="E244" i="3"/>
  <c r="E12" i="11" s="1"/>
  <c r="F244" i="3"/>
  <c r="F12" i="11" s="1"/>
  <c r="G244" i="3"/>
  <c r="G12" i="11" s="1"/>
  <c r="D245" i="3"/>
  <c r="D13" i="11" s="1"/>
  <c r="E245" i="3"/>
  <c r="E13" i="11" s="1"/>
  <c r="F245" i="3"/>
  <c r="G245" i="3"/>
  <c r="D246" i="3"/>
  <c r="D14" i="11" s="1"/>
  <c r="E246" i="3"/>
  <c r="E14" i="11" s="1"/>
  <c r="F246" i="3"/>
  <c r="F14" i="11" s="1"/>
  <c r="G246" i="3"/>
  <c r="G14" i="11" s="1"/>
  <c r="D247" i="3"/>
  <c r="E247" i="3"/>
  <c r="E15" i="11" s="1"/>
  <c r="F247" i="3"/>
  <c r="F15" i="11" s="1"/>
  <c r="G247" i="3"/>
  <c r="D248" i="3"/>
  <c r="D16" i="11" s="1"/>
  <c r="E248" i="3"/>
  <c r="E16" i="11" s="1"/>
  <c r="F248" i="3"/>
  <c r="F16" i="11" s="1"/>
  <c r="G248" i="3"/>
  <c r="G16" i="11" s="1"/>
  <c r="D249" i="3"/>
  <c r="E249" i="3"/>
  <c r="F249" i="3"/>
  <c r="G249" i="3"/>
  <c r="E239" i="3"/>
  <c r="E7" i="11" s="1"/>
  <c r="F239" i="3"/>
  <c r="F7" i="11" s="1"/>
  <c r="G239" i="3"/>
  <c r="G7" i="11" s="1"/>
  <c r="D239" i="3"/>
  <c r="D7" i="11" s="1"/>
  <c r="G61" i="3"/>
  <c r="G60" i="3"/>
  <c r="G59" i="3"/>
  <c r="G58" i="3"/>
  <c r="G57" i="3"/>
  <c r="G56" i="3"/>
  <c r="G55" i="3"/>
  <c r="G54" i="3"/>
  <c r="G53" i="3"/>
  <c r="G52" i="3"/>
  <c r="G51" i="3"/>
  <c r="I457" i="20"/>
  <c r="J457" i="20"/>
  <c r="K457" i="20"/>
  <c r="I813" i="20"/>
  <c r="J813" i="20"/>
  <c r="K813" i="20"/>
  <c r="I780" i="20"/>
  <c r="J780" i="20"/>
  <c r="K780" i="20"/>
  <c r="C17" i="3"/>
  <c r="K14" i="14" s="1"/>
  <c r="G14" i="1"/>
  <c r="G12" i="1"/>
  <c r="G9" i="1"/>
  <c r="G6" i="1"/>
  <c r="G5" i="1"/>
  <c r="G4" i="1"/>
  <c r="G13" i="1"/>
  <c r="G11" i="1"/>
  <c r="G10" i="1"/>
  <c r="G8" i="1"/>
  <c r="G7" i="1"/>
  <c r="L96" i="3"/>
  <c r="L97" i="3"/>
  <c r="L98" i="3"/>
  <c r="L99" i="3"/>
  <c r="L100" i="3"/>
  <c r="L101" i="3"/>
  <c r="L102" i="3"/>
  <c r="L103" i="3"/>
  <c r="L104" i="3"/>
  <c r="L105" i="3"/>
  <c r="L95" i="3"/>
  <c r="D106" i="3"/>
  <c r="E106" i="3"/>
  <c r="F106" i="3"/>
  <c r="G106" i="3"/>
  <c r="H106" i="3"/>
  <c r="I106" i="3"/>
  <c r="J106" i="3"/>
  <c r="K106" i="3"/>
  <c r="C106" i="3"/>
  <c r="D48" i="3"/>
  <c r="C16" i="3" s="1"/>
  <c r="K13" i="14" s="1"/>
  <c r="E48" i="3"/>
  <c r="C48" i="3"/>
  <c r="AC28" i="21" l="1"/>
  <c r="L106" i="3"/>
  <c r="F17" i="11"/>
  <c r="E17" i="11"/>
  <c r="D17" i="11" l="1"/>
  <c r="G17" i="11"/>
  <c r="T4" i="12" l="1"/>
  <c r="T3" i="12"/>
  <c r="T2" i="12"/>
  <c r="T6" i="12" l="1"/>
  <c r="E268" i="3"/>
  <c r="F268" i="3"/>
  <c r="E269" i="3"/>
  <c r="F269" i="3"/>
  <c r="E270" i="3"/>
  <c r="F270" i="3"/>
  <c r="E261" i="3"/>
  <c r="F261" i="3"/>
  <c r="E262" i="3"/>
  <c r="F262" i="3"/>
  <c r="E263" i="3"/>
  <c r="F263" i="3"/>
  <c r="E254" i="3"/>
  <c r="F254" i="3"/>
  <c r="E255" i="3"/>
  <c r="F255" i="3"/>
  <c r="E256" i="3"/>
  <c r="F256" i="3"/>
  <c r="E275" i="3"/>
  <c r="F275" i="3"/>
  <c r="E250" i="3"/>
  <c r="F250" i="3"/>
  <c r="H240" i="3"/>
  <c r="I240" i="3"/>
  <c r="H241" i="3"/>
  <c r="I241" i="3"/>
  <c r="H242" i="3"/>
  <c r="I242" i="3"/>
  <c r="H243" i="3"/>
  <c r="H11" i="11" s="1"/>
  <c r="I243" i="3"/>
  <c r="I11" i="11" s="1"/>
  <c r="H244" i="3"/>
  <c r="I244" i="3"/>
  <c r="H245" i="3"/>
  <c r="I245" i="3"/>
  <c r="H246" i="3"/>
  <c r="I246" i="3"/>
  <c r="H247" i="3"/>
  <c r="I247" i="3"/>
  <c r="H248" i="3"/>
  <c r="I248" i="3"/>
  <c r="H249" i="3"/>
  <c r="H256" i="3" s="1"/>
  <c r="I249" i="3"/>
  <c r="I239" i="3"/>
  <c r="I7" i="11" s="1"/>
  <c r="H239" i="3"/>
  <c r="D256" i="3"/>
  <c r="G255" i="3"/>
  <c r="D255" i="3"/>
  <c r="G270" i="3"/>
  <c r="D270" i="3"/>
  <c r="G254" i="3"/>
  <c r="D254" i="3"/>
  <c r="G263" i="3"/>
  <c r="D263" i="3"/>
  <c r="G262" i="3"/>
  <c r="D262" i="3"/>
  <c r="G275" i="3"/>
  <c r="D275" i="3"/>
  <c r="G269" i="3"/>
  <c r="D269" i="3"/>
  <c r="G268" i="3"/>
  <c r="D268" i="3"/>
  <c r="G261" i="3"/>
  <c r="D261" i="3"/>
  <c r="D227" i="3"/>
  <c r="D228" i="3" s="1"/>
  <c r="D222" i="3"/>
  <c r="D221" i="3"/>
  <c r="D220" i="3"/>
  <c r="D219" i="3"/>
  <c r="D214" i="3"/>
  <c r="D213" i="3"/>
  <c r="D212" i="3"/>
  <c r="D207" i="3"/>
  <c r="D206" i="3"/>
  <c r="D205" i="3"/>
  <c r="D201" i="3"/>
  <c r="C8" i="3" s="1"/>
  <c r="K5" i="14" s="1"/>
  <c r="D177" i="3"/>
  <c r="D172" i="3"/>
  <c r="D171" i="3"/>
  <c r="D170" i="3"/>
  <c r="D169" i="3"/>
  <c r="D164" i="3"/>
  <c r="D163" i="3"/>
  <c r="D162" i="3"/>
  <c r="D157" i="3"/>
  <c r="D156" i="3"/>
  <c r="D155" i="3"/>
  <c r="E141" i="3"/>
  <c r="F141" i="3" s="1"/>
  <c r="Q141" i="3" s="1"/>
  <c r="D35" i="8" s="1"/>
  <c r="V33" i="13" s="1"/>
  <c r="E142" i="3"/>
  <c r="F142" i="3" s="1"/>
  <c r="Q142" i="3" s="1"/>
  <c r="D36" i="8" s="1"/>
  <c r="V34" i="13" s="1"/>
  <c r="E143" i="3"/>
  <c r="E177" i="3" s="1"/>
  <c r="E144" i="3"/>
  <c r="F144" i="3" s="1"/>
  <c r="Q144" i="3" s="1"/>
  <c r="D38" i="8" s="1"/>
  <c r="V36" i="13" s="1"/>
  <c r="E145" i="3"/>
  <c r="F145" i="3" s="1"/>
  <c r="Q145" i="3" s="1"/>
  <c r="D39" i="8" s="1"/>
  <c r="V37" i="13" s="1"/>
  <c r="E146" i="3"/>
  <c r="E164" i="3" s="1"/>
  <c r="E147" i="3"/>
  <c r="F147" i="3" s="1"/>
  <c r="Q147" i="3" s="1"/>
  <c r="D41" i="8" s="1"/>
  <c r="V39" i="13" s="1"/>
  <c r="E148" i="3"/>
  <c r="F148" i="3" s="1"/>
  <c r="Q148" i="3" s="1"/>
  <c r="D42" i="8" s="1"/>
  <c r="V40" i="13" s="1"/>
  <c r="E149" i="3"/>
  <c r="F149" i="3" s="1"/>
  <c r="Q149" i="3" s="1"/>
  <c r="D43" i="8" s="1"/>
  <c r="V41" i="13" s="1"/>
  <c r="E150" i="3"/>
  <c r="E157" i="3" s="1"/>
  <c r="E140" i="3"/>
  <c r="E162" i="3" s="1"/>
  <c r="D128" i="3"/>
  <c r="D129" i="3" s="1"/>
  <c r="D135" i="3" s="1"/>
  <c r="E128" i="3"/>
  <c r="E129" i="3" s="1"/>
  <c r="E135" i="3" s="1"/>
  <c r="F128" i="3"/>
  <c r="F129" i="3" s="1"/>
  <c r="F135" i="3" s="1"/>
  <c r="G128" i="3"/>
  <c r="G129" i="3" s="1"/>
  <c r="G135" i="3" s="1"/>
  <c r="H128" i="3"/>
  <c r="H129" i="3" s="1"/>
  <c r="H135" i="3" s="1"/>
  <c r="I128" i="3"/>
  <c r="I129" i="3" s="1"/>
  <c r="I135" i="3" s="1"/>
  <c r="J128" i="3"/>
  <c r="J129" i="3" s="1"/>
  <c r="J135" i="3" s="1"/>
  <c r="K128" i="3"/>
  <c r="K129" i="3" s="1"/>
  <c r="K135" i="3" s="1"/>
  <c r="L128" i="3"/>
  <c r="L129" i="3" s="1"/>
  <c r="L135" i="3" s="1"/>
  <c r="P135" i="3" s="1"/>
  <c r="H23" i="8" s="1"/>
  <c r="C128" i="3"/>
  <c r="C129" i="3" s="1"/>
  <c r="C135" i="3" s="1"/>
  <c r="D121" i="3"/>
  <c r="E121" i="3"/>
  <c r="F121" i="3"/>
  <c r="G121" i="3"/>
  <c r="H121" i="3"/>
  <c r="I121" i="3"/>
  <c r="J121" i="3"/>
  <c r="K121" i="3"/>
  <c r="L121" i="3"/>
  <c r="D122" i="3"/>
  <c r="E122" i="3"/>
  <c r="F122" i="3"/>
  <c r="G122" i="3"/>
  <c r="H122" i="3"/>
  <c r="I122" i="3"/>
  <c r="J122" i="3"/>
  <c r="K122" i="3"/>
  <c r="L122" i="3"/>
  <c r="D123" i="3"/>
  <c r="E123" i="3"/>
  <c r="F123" i="3"/>
  <c r="G123" i="3"/>
  <c r="H123" i="3"/>
  <c r="I123" i="3"/>
  <c r="J123" i="3"/>
  <c r="K123" i="3"/>
  <c r="L123" i="3"/>
  <c r="D124" i="3"/>
  <c r="E124" i="3"/>
  <c r="F124" i="3"/>
  <c r="G124" i="3"/>
  <c r="H124" i="3"/>
  <c r="I124" i="3"/>
  <c r="J124" i="3"/>
  <c r="K124" i="3"/>
  <c r="L124" i="3"/>
  <c r="C124" i="3"/>
  <c r="C123" i="3"/>
  <c r="C122" i="3"/>
  <c r="C121" i="3"/>
  <c r="D115" i="3"/>
  <c r="E115" i="3"/>
  <c r="F115" i="3"/>
  <c r="G115" i="3"/>
  <c r="H115" i="3"/>
  <c r="I115" i="3"/>
  <c r="J115" i="3"/>
  <c r="K115" i="3"/>
  <c r="L115" i="3"/>
  <c r="D116" i="3"/>
  <c r="E116" i="3"/>
  <c r="F116" i="3"/>
  <c r="G116" i="3"/>
  <c r="H116" i="3"/>
  <c r="I116" i="3"/>
  <c r="J116" i="3"/>
  <c r="K116" i="3"/>
  <c r="L116" i="3"/>
  <c r="D117" i="3"/>
  <c r="E117" i="3"/>
  <c r="F117" i="3"/>
  <c r="G117" i="3"/>
  <c r="H117" i="3"/>
  <c r="I117" i="3"/>
  <c r="J117" i="3"/>
  <c r="K117" i="3"/>
  <c r="L117" i="3"/>
  <c r="C117" i="3"/>
  <c r="C116" i="3"/>
  <c r="C115" i="3"/>
  <c r="D109" i="3"/>
  <c r="E109" i="3"/>
  <c r="F109" i="3"/>
  <c r="G109" i="3"/>
  <c r="H109" i="3"/>
  <c r="I109" i="3"/>
  <c r="J109" i="3"/>
  <c r="K109" i="3"/>
  <c r="L109" i="3"/>
  <c r="D110" i="3"/>
  <c r="E110" i="3"/>
  <c r="F110" i="3"/>
  <c r="G110" i="3"/>
  <c r="H110" i="3"/>
  <c r="I110" i="3"/>
  <c r="J110" i="3"/>
  <c r="K110" i="3"/>
  <c r="L110" i="3"/>
  <c r="D111" i="3"/>
  <c r="E111" i="3"/>
  <c r="F111" i="3"/>
  <c r="G111" i="3"/>
  <c r="H111" i="3"/>
  <c r="I111" i="3"/>
  <c r="J111" i="3"/>
  <c r="K111" i="3"/>
  <c r="L111" i="3"/>
  <c r="C111" i="3"/>
  <c r="C110" i="3"/>
  <c r="C109" i="3"/>
  <c r="P96" i="3"/>
  <c r="C21" i="8" s="1"/>
  <c r="P97" i="3"/>
  <c r="C22" i="8" s="1"/>
  <c r="P98" i="3"/>
  <c r="C23" i="8" s="1"/>
  <c r="P99" i="3"/>
  <c r="C24" i="8" s="1"/>
  <c r="P100" i="3"/>
  <c r="C25" i="8" s="1"/>
  <c r="P101" i="3"/>
  <c r="C26" i="8" s="1"/>
  <c r="P102" i="3"/>
  <c r="C27" i="8" s="1"/>
  <c r="P103" i="3"/>
  <c r="C28" i="8" s="1"/>
  <c r="P104" i="3"/>
  <c r="C29" i="8" s="1"/>
  <c r="P105" i="3"/>
  <c r="C30" i="8" s="1"/>
  <c r="P106" i="3"/>
  <c r="C31" i="8" s="1"/>
  <c r="P95" i="3"/>
  <c r="C20" i="8" s="1"/>
  <c r="M106" i="3"/>
  <c r="Q106" i="3" s="1"/>
  <c r="M96" i="3"/>
  <c r="Q96" i="3" s="1"/>
  <c r="M97" i="3"/>
  <c r="Q97" i="3" s="1"/>
  <c r="M98" i="3"/>
  <c r="Q98" i="3" s="1"/>
  <c r="M99" i="3"/>
  <c r="Q99" i="3" s="1"/>
  <c r="M100" i="3"/>
  <c r="Q100" i="3" s="1"/>
  <c r="M101" i="3"/>
  <c r="Q101" i="3" s="1"/>
  <c r="M102" i="3"/>
  <c r="Q102" i="3" s="1"/>
  <c r="M103" i="3"/>
  <c r="Q103" i="3" s="1"/>
  <c r="M104" i="3"/>
  <c r="Q104" i="3" s="1"/>
  <c r="M105" i="3"/>
  <c r="Q105" i="3" s="1"/>
  <c r="M95" i="3"/>
  <c r="Q95" i="3" s="1"/>
  <c r="C52" i="3"/>
  <c r="C77" i="3" s="1"/>
  <c r="D52" i="3"/>
  <c r="D77" i="3" s="1"/>
  <c r="E52" i="3"/>
  <c r="E77" i="3" s="1"/>
  <c r="C53" i="3"/>
  <c r="C78" i="3" s="1"/>
  <c r="D53" i="3"/>
  <c r="D78" i="3" s="1"/>
  <c r="E53" i="3"/>
  <c r="E78" i="3" s="1"/>
  <c r="C54" i="3"/>
  <c r="C84" i="3" s="1"/>
  <c r="D54" i="3"/>
  <c r="D84" i="3" s="1"/>
  <c r="E54" i="3"/>
  <c r="E84" i="3" s="1"/>
  <c r="C55" i="3"/>
  <c r="C79" i="3" s="1"/>
  <c r="D55" i="3"/>
  <c r="D79" i="3" s="1"/>
  <c r="E55" i="3"/>
  <c r="E79" i="3" s="1"/>
  <c r="C56" i="3"/>
  <c r="C72" i="3" s="1"/>
  <c r="D56" i="3"/>
  <c r="D72" i="3" s="1"/>
  <c r="E56" i="3"/>
  <c r="E72" i="3" s="1"/>
  <c r="C57" i="3"/>
  <c r="C73" i="3" s="1"/>
  <c r="D57" i="3"/>
  <c r="D73" i="3" s="1"/>
  <c r="E57" i="3"/>
  <c r="E73" i="3" s="1"/>
  <c r="C58" i="3"/>
  <c r="C65" i="3" s="1"/>
  <c r="D58" i="3"/>
  <c r="D65" i="3" s="1"/>
  <c r="E58" i="3"/>
  <c r="E65" i="3" s="1"/>
  <c r="C59" i="3"/>
  <c r="C80" i="3" s="1"/>
  <c r="D59" i="3"/>
  <c r="D80" i="3" s="1"/>
  <c r="E59" i="3"/>
  <c r="E80" i="3" s="1"/>
  <c r="C60" i="3"/>
  <c r="C66" i="3" s="1"/>
  <c r="D60" i="3"/>
  <c r="D66" i="3" s="1"/>
  <c r="E60" i="3"/>
  <c r="E66" i="3" s="1"/>
  <c r="C61" i="3"/>
  <c r="D61" i="3"/>
  <c r="D67" i="3" s="1"/>
  <c r="E61" i="3"/>
  <c r="E67" i="3" s="1"/>
  <c r="D51" i="3"/>
  <c r="D71" i="3" s="1"/>
  <c r="E51" i="3"/>
  <c r="E71" i="3" s="1"/>
  <c r="C51" i="3"/>
  <c r="C71" i="3" s="1"/>
  <c r="G67" i="3"/>
  <c r="G66" i="3"/>
  <c r="G80" i="3"/>
  <c r="G65" i="3"/>
  <c r="G73" i="3"/>
  <c r="G72" i="3"/>
  <c r="G79" i="3"/>
  <c r="G84" i="3"/>
  <c r="G78" i="3"/>
  <c r="G77" i="3"/>
  <c r="G71" i="3"/>
  <c r="D6" i="1"/>
  <c r="J4" i="1"/>
  <c r="J5" i="1"/>
  <c r="J7" i="1"/>
  <c r="J9" i="1"/>
  <c r="J8" i="1"/>
  <c r="D14" i="1"/>
  <c r="J6" i="1"/>
  <c r="G15" i="1"/>
  <c r="D13" i="1"/>
  <c r="D12" i="1"/>
  <c r="D11" i="1"/>
  <c r="D10" i="1"/>
  <c r="D9" i="1"/>
  <c r="D8" i="1"/>
  <c r="D7" i="1"/>
  <c r="D4" i="1"/>
  <c r="H255" i="3" l="1"/>
  <c r="H16" i="11"/>
  <c r="H262" i="3"/>
  <c r="H12" i="11"/>
  <c r="H268" i="3"/>
  <c r="H8" i="11"/>
  <c r="I270" i="3"/>
  <c r="I15" i="11"/>
  <c r="J11" i="11"/>
  <c r="K11" i="11"/>
  <c r="H254" i="3"/>
  <c r="H14" i="11"/>
  <c r="I263" i="3"/>
  <c r="I13" i="11"/>
  <c r="I269" i="3"/>
  <c r="I9" i="11"/>
  <c r="H270" i="3"/>
  <c r="H15" i="11"/>
  <c r="J7" i="11"/>
  <c r="H275" i="3"/>
  <c r="K275" i="3" s="1"/>
  <c r="H10" i="11"/>
  <c r="H263" i="3"/>
  <c r="H13" i="11"/>
  <c r="H269" i="3"/>
  <c r="H9" i="11"/>
  <c r="H261" i="3"/>
  <c r="H7" i="11"/>
  <c r="H17" i="11" s="1"/>
  <c r="I254" i="3"/>
  <c r="I14" i="11"/>
  <c r="I275" i="3"/>
  <c r="I10" i="11"/>
  <c r="I255" i="3"/>
  <c r="I16" i="11"/>
  <c r="I262" i="3"/>
  <c r="I12" i="11"/>
  <c r="I268" i="3"/>
  <c r="I8" i="11"/>
  <c r="K249" i="3"/>
  <c r="J249" i="3"/>
  <c r="D72" i="8" s="1"/>
  <c r="E190" i="3"/>
  <c r="I256" i="3"/>
  <c r="E72" i="8"/>
  <c r="U249" i="3"/>
  <c r="F257" i="3"/>
  <c r="E257" i="3"/>
  <c r="D25" i="8"/>
  <c r="K37" i="13" s="1"/>
  <c r="G8" i="9"/>
  <c r="D27" i="8"/>
  <c r="K39" i="13" s="1"/>
  <c r="G10" i="9"/>
  <c r="G9" i="9"/>
  <c r="D26" i="8"/>
  <c r="K38" i="13" s="1"/>
  <c r="D257" i="3"/>
  <c r="G6" i="9"/>
  <c r="D23" i="8"/>
  <c r="K35" i="13" s="1"/>
  <c r="I250" i="3"/>
  <c r="G12" i="9"/>
  <c r="D29" i="8"/>
  <c r="K41" i="13" s="1"/>
  <c r="G5" i="9"/>
  <c r="D22" i="8"/>
  <c r="K34" i="13" s="1"/>
  <c r="I261" i="3"/>
  <c r="J261" i="3" s="1"/>
  <c r="D20" i="8"/>
  <c r="K32" i="13" s="1"/>
  <c r="G3" i="9"/>
  <c r="G13" i="9"/>
  <c r="D30" i="8"/>
  <c r="K42" i="13" s="1"/>
  <c r="D21" i="8"/>
  <c r="K33" i="13" s="1"/>
  <c r="G4" i="9"/>
  <c r="G7" i="9"/>
  <c r="D24" i="8"/>
  <c r="K36" i="13" s="1"/>
  <c r="G11" i="9"/>
  <c r="D28" i="8"/>
  <c r="K40" i="13" s="1"/>
  <c r="G14" i="9"/>
  <c r="D31" i="8"/>
  <c r="H257" i="3"/>
  <c r="D250" i="3"/>
  <c r="G256" i="3"/>
  <c r="G257" i="3" s="1"/>
  <c r="G250" i="3"/>
  <c r="H250" i="3"/>
  <c r="E197" i="3"/>
  <c r="F197" i="3" s="1"/>
  <c r="Q197" i="3" s="1"/>
  <c r="D55" i="8" s="1"/>
  <c r="P53" i="13" s="1"/>
  <c r="E195" i="3"/>
  <c r="E213" i="3" s="1"/>
  <c r="F213" i="3" s="1"/>
  <c r="E198" i="3"/>
  <c r="E222" i="3" s="1"/>
  <c r="F222" i="3" s="1"/>
  <c r="E194" i="3"/>
  <c r="F194" i="3" s="1"/>
  <c r="Q194" i="3" s="1"/>
  <c r="D52" i="8" s="1"/>
  <c r="P50" i="13" s="1"/>
  <c r="E196" i="3"/>
  <c r="E214" i="3" s="1"/>
  <c r="F214" i="3" s="1"/>
  <c r="D158" i="3"/>
  <c r="C181" i="3" s="1"/>
  <c r="E200" i="3"/>
  <c r="F200" i="3" s="1"/>
  <c r="Q200" i="3" s="1"/>
  <c r="D58" i="8" s="1"/>
  <c r="P56" i="13" s="1"/>
  <c r="E193" i="3"/>
  <c r="E227" i="3" s="1"/>
  <c r="E228" i="3" s="1"/>
  <c r="D234" i="3" s="1"/>
  <c r="H112" i="3"/>
  <c r="H132" i="3" s="1"/>
  <c r="E155" i="3"/>
  <c r="F155" i="3" s="1"/>
  <c r="E199" i="3"/>
  <c r="F199" i="3" s="1"/>
  <c r="Q199" i="3" s="1"/>
  <c r="D57" i="8" s="1"/>
  <c r="P55" i="13" s="1"/>
  <c r="E192" i="3"/>
  <c r="E220" i="3" s="1"/>
  <c r="F220" i="3" s="1"/>
  <c r="E191" i="3"/>
  <c r="F191" i="3" s="1"/>
  <c r="Q191" i="3" s="1"/>
  <c r="D49" i="8" s="1"/>
  <c r="P47" i="13" s="1"/>
  <c r="L112" i="3"/>
  <c r="L132" i="3" s="1"/>
  <c r="P132" i="3" s="1"/>
  <c r="H20" i="8" s="1"/>
  <c r="G68" i="3"/>
  <c r="G88" i="3" s="1"/>
  <c r="D208" i="3"/>
  <c r="C231" i="3" s="1"/>
  <c r="C234" i="3"/>
  <c r="D223" i="3"/>
  <c r="E212" i="3"/>
  <c r="D215" i="3"/>
  <c r="F190" i="3"/>
  <c r="Q190" i="3" s="1"/>
  <c r="D48" i="8" s="1"/>
  <c r="P46" i="13" s="1"/>
  <c r="F146" i="3"/>
  <c r="Q146" i="3" s="1"/>
  <c r="D40" i="8" s="1"/>
  <c r="V38" i="13" s="1"/>
  <c r="E171" i="3"/>
  <c r="F171" i="3" s="1"/>
  <c r="E163" i="3"/>
  <c r="E165" i="3" s="1"/>
  <c r="D182" i="3" s="1"/>
  <c r="F143" i="3"/>
  <c r="Q143" i="3" s="1"/>
  <c r="D37" i="8" s="1"/>
  <c r="V35" i="13" s="1"/>
  <c r="L125" i="3"/>
  <c r="L134" i="3" s="1"/>
  <c r="P134" i="3" s="1"/>
  <c r="H22" i="8" s="1"/>
  <c r="E156" i="3"/>
  <c r="E172" i="3"/>
  <c r="F172" i="3" s="1"/>
  <c r="D125" i="3"/>
  <c r="D134" i="3" s="1"/>
  <c r="E170" i="3"/>
  <c r="E169" i="3"/>
  <c r="F169" i="3" s="1"/>
  <c r="F150" i="3"/>
  <c r="Q150" i="3" s="1"/>
  <c r="D44" i="8" s="1"/>
  <c r="V42" i="13" s="1"/>
  <c r="C112" i="3"/>
  <c r="C132" i="3" s="1"/>
  <c r="E112" i="3"/>
  <c r="E132" i="3" s="1"/>
  <c r="L118" i="3"/>
  <c r="L133" i="3" s="1"/>
  <c r="P133" i="3" s="1"/>
  <c r="H21" i="8" s="1"/>
  <c r="D118" i="3"/>
  <c r="D133" i="3" s="1"/>
  <c r="F125" i="3"/>
  <c r="F134" i="3" s="1"/>
  <c r="G125" i="3"/>
  <c r="G134" i="3" s="1"/>
  <c r="D112" i="3"/>
  <c r="D132" i="3" s="1"/>
  <c r="E125" i="3"/>
  <c r="E134" i="3" s="1"/>
  <c r="C118" i="3"/>
  <c r="C133" i="3" s="1"/>
  <c r="M116" i="3"/>
  <c r="C125" i="3"/>
  <c r="C134" i="3" s="1"/>
  <c r="I125" i="3"/>
  <c r="I134" i="3" s="1"/>
  <c r="J125" i="3"/>
  <c r="J134" i="3" s="1"/>
  <c r="H125" i="3"/>
  <c r="H134" i="3" s="1"/>
  <c r="K125" i="3"/>
  <c r="K134" i="3" s="1"/>
  <c r="J112" i="3"/>
  <c r="J132" i="3" s="1"/>
  <c r="H118" i="3"/>
  <c r="H133" i="3" s="1"/>
  <c r="G118" i="3"/>
  <c r="G133" i="3" s="1"/>
  <c r="G112" i="3"/>
  <c r="G132" i="3" s="1"/>
  <c r="E118" i="3"/>
  <c r="E133" i="3" s="1"/>
  <c r="F118" i="3"/>
  <c r="F133" i="3" s="1"/>
  <c r="F112" i="3"/>
  <c r="F132" i="3" s="1"/>
  <c r="M124" i="3"/>
  <c r="M109" i="3"/>
  <c r="M111" i="3"/>
  <c r="K118" i="3"/>
  <c r="K133" i="3" s="1"/>
  <c r="M122" i="3"/>
  <c r="M121" i="3"/>
  <c r="M128" i="3"/>
  <c r="J118" i="3"/>
  <c r="J133" i="3" s="1"/>
  <c r="M110" i="3"/>
  <c r="I112" i="3"/>
  <c r="I132" i="3" s="1"/>
  <c r="K112" i="3"/>
  <c r="K132" i="3" s="1"/>
  <c r="M115" i="3"/>
  <c r="M123" i="3"/>
  <c r="M135" i="3"/>
  <c r="Q135" i="3" s="1"/>
  <c r="M117" i="3"/>
  <c r="I118" i="3"/>
  <c r="I133" i="3" s="1"/>
  <c r="M129" i="3"/>
  <c r="F61" i="3"/>
  <c r="P61" i="3" s="1"/>
  <c r="C62" i="3"/>
  <c r="E62" i="3"/>
  <c r="D62" i="3"/>
  <c r="G62" i="3"/>
  <c r="E68" i="3"/>
  <c r="E88" i="3" s="1"/>
  <c r="D68" i="3"/>
  <c r="D88" i="3" s="1"/>
  <c r="C67" i="3"/>
  <c r="C68" i="3" s="1"/>
  <c r="C88" i="3" s="1"/>
  <c r="H61" i="3"/>
  <c r="Q61" i="3" s="1"/>
  <c r="F65" i="3"/>
  <c r="H65" i="3"/>
  <c r="J2" i="12"/>
  <c r="J4" i="12"/>
  <c r="J3" i="12"/>
  <c r="I276" i="3"/>
  <c r="H276" i="3"/>
  <c r="F276" i="3"/>
  <c r="E276" i="3"/>
  <c r="J275" i="3"/>
  <c r="I271" i="3"/>
  <c r="H271" i="3"/>
  <c r="F271" i="3"/>
  <c r="E271" i="3"/>
  <c r="K270" i="3"/>
  <c r="J270" i="3"/>
  <c r="K269" i="3"/>
  <c r="J269" i="3"/>
  <c r="K268" i="3"/>
  <c r="J268" i="3"/>
  <c r="H264" i="3"/>
  <c r="F264" i="3"/>
  <c r="E264" i="3"/>
  <c r="K263" i="3"/>
  <c r="J263" i="3"/>
  <c r="K262" i="3"/>
  <c r="J262" i="3"/>
  <c r="K255" i="3"/>
  <c r="J255" i="3"/>
  <c r="K254" i="3"/>
  <c r="J254" i="3"/>
  <c r="K240" i="3"/>
  <c r="K241" i="3"/>
  <c r="K242" i="3"/>
  <c r="K243" i="3"/>
  <c r="K244" i="3"/>
  <c r="K245" i="3"/>
  <c r="K246" i="3"/>
  <c r="K247" i="3"/>
  <c r="K248" i="3"/>
  <c r="K239" i="3"/>
  <c r="J248" i="3"/>
  <c r="J247" i="3"/>
  <c r="J246" i="3"/>
  <c r="J245" i="3"/>
  <c r="J244" i="3"/>
  <c r="J243" i="3"/>
  <c r="J242" i="3"/>
  <c r="J241" i="3"/>
  <c r="J240" i="3"/>
  <c r="J239" i="3"/>
  <c r="E178" i="3"/>
  <c r="D184" i="3" s="1"/>
  <c r="D178" i="3"/>
  <c r="C184" i="3" s="1"/>
  <c r="F177" i="3"/>
  <c r="D173" i="3"/>
  <c r="C183" i="3" s="1"/>
  <c r="D165" i="3"/>
  <c r="C182" i="3" s="1"/>
  <c r="F164" i="3"/>
  <c r="F162" i="3"/>
  <c r="F157" i="3"/>
  <c r="E151" i="3"/>
  <c r="D151" i="3"/>
  <c r="C7" i="3" s="1"/>
  <c r="K4" i="14" s="1"/>
  <c r="F140" i="3"/>
  <c r="Q140" i="3" s="1"/>
  <c r="D34" i="8" s="1"/>
  <c r="V32" i="13" s="1"/>
  <c r="G85" i="3"/>
  <c r="G91" i="3" s="1"/>
  <c r="E85" i="3"/>
  <c r="E91" i="3" s="1"/>
  <c r="D85" i="3"/>
  <c r="D91" i="3" s="1"/>
  <c r="C85" i="3"/>
  <c r="C91" i="3" s="1"/>
  <c r="H84" i="3"/>
  <c r="F84" i="3"/>
  <c r="G81" i="3"/>
  <c r="G90" i="3" s="1"/>
  <c r="E81" i="3"/>
  <c r="D81" i="3"/>
  <c r="C81" i="3"/>
  <c r="H80" i="3"/>
  <c r="F80" i="3"/>
  <c r="H79" i="3"/>
  <c r="F79" i="3"/>
  <c r="H78" i="3"/>
  <c r="F78" i="3"/>
  <c r="H77" i="3"/>
  <c r="F77" i="3"/>
  <c r="G74" i="3"/>
  <c r="G89" i="3" s="1"/>
  <c r="E74" i="3"/>
  <c r="E89" i="3" s="1"/>
  <c r="D74" i="3"/>
  <c r="D89" i="3" s="1"/>
  <c r="C74" i="3"/>
  <c r="C89" i="3" s="1"/>
  <c r="H73" i="3"/>
  <c r="F73" i="3"/>
  <c r="H72" i="3"/>
  <c r="F72" i="3"/>
  <c r="H71" i="3"/>
  <c r="F71" i="3"/>
  <c r="H67" i="3"/>
  <c r="H66" i="3"/>
  <c r="F66" i="3"/>
  <c r="F52" i="3"/>
  <c r="P52" i="3" s="1"/>
  <c r="F53" i="3"/>
  <c r="P53" i="3" s="1"/>
  <c r="F54" i="3"/>
  <c r="P54" i="3" s="1"/>
  <c r="F55" i="3"/>
  <c r="P55" i="3" s="1"/>
  <c r="F56" i="3"/>
  <c r="P56" i="3" s="1"/>
  <c r="F57" i="3"/>
  <c r="P57" i="3" s="1"/>
  <c r="F58" i="3"/>
  <c r="P58" i="3" s="1"/>
  <c r="F59" i="3"/>
  <c r="P59" i="3" s="1"/>
  <c r="F60" i="3"/>
  <c r="P60" i="3" s="1"/>
  <c r="H52" i="3"/>
  <c r="Q52" i="3" s="1"/>
  <c r="H53" i="3"/>
  <c r="Q53" i="3" s="1"/>
  <c r="H54" i="3"/>
  <c r="Q54" i="3" s="1"/>
  <c r="H55" i="3"/>
  <c r="Q55" i="3" s="1"/>
  <c r="H56" i="3"/>
  <c r="Q56" i="3" s="1"/>
  <c r="H57" i="3"/>
  <c r="Q57" i="3" s="1"/>
  <c r="H58" i="3"/>
  <c r="Q58" i="3" s="1"/>
  <c r="H59" i="3"/>
  <c r="Q59" i="3" s="1"/>
  <c r="H60" i="3"/>
  <c r="Q60" i="3" s="1"/>
  <c r="H51" i="3"/>
  <c r="Q51" i="3" s="1"/>
  <c r="F51" i="3"/>
  <c r="P51" i="3" s="1"/>
  <c r="D5" i="1"/>
  <c r="K9" i="11" l="1"/>
  <c r="J9" i="11"/>
  <c r="J15" i="11"/>
  <c r="K15" i="11"/>
  <c r="K8" i="11"/>
  <c r="J8" i="11"/>
  <c r="K14" i="11"/>
  <c r="J14" i="11"/>
  <c r="J13" i="11"/>
  <c r="K13" i="11"/>
  <c r="K12" i="11"/>
  <c r="J12" i="11"/>
  <c r="K7" i="11"/>
  <c r="I257" i="3"/>
  <c r="J16" i="11"/>
  <c r="K16" i="11"/>
  <c r="I17" i="11"/>
  <c r="K10" i="11"/>
  <c r="J10" i="11"/>
  <c r="K261" i="3"/>
  <c r="E184" i="3"/>
  <c r="P184" i="3" s="1"/>
  <c r="H37" i="8" s="1"/>
  <c r="V35" i="14" s="1"/>
  <c r="I264" i="3"/>
  <c r="K264" i="3" s="1"/>
  <c r="K256" i="3"/>
  <c r="T249" i="3"/>
  <c r="F198" i="3"/>
  <c r="Q198" i="3" s="1"/>
  <c r="D56" i="8" s="1"/>
  <c r="P54" i="13" s="1"/>
  <c r="E221" i="3"/>
  <c r="F221" i="3" s="1"/>
  <c r="F195" i="3"/>
  <c r="Q195" i="3" s="1"/>
  <c r="D53" i="8" s="1"/>
  <c r="P51" i="13" s="1"/>
  <c r="E7" i="9"/>
  <c r="D10" i="8"/>
  <c r="V22" i="13" s="1"/>
  <c r="G20" i="9"/>
  <c r="I23" i="8"/>
  <c r="K35" i="14" s="1"/>
  <c r="D16" i="8"/>
  <c r="V28" i="13" s="1"/>
  <c r="E13" i="9"/>
  <c r="C16" i="8"/>
  <c r="K28" i="13" s="1"/>
  <c r="C13" i="9"/>
  <c r="C3" i="9"/>
  <c r="C6" i="8"/>
  <c r="K18" i="13" s="1"/>
  <c r="C12" i="8"/>
  <c r="K24" i="13" s="1"/>
  <c r="C9" i="9"/>
  <c r="D67" i="8"/>
  <c r="T244" i="3"/>
  <c r="E63" i="8"/>
  <c r="U240" i="3"/>
  <c r="E3" i="9"/>
  <c r="D6" i="8"/>
  <c r="V18" i="13" s="1"/>
  <c r="D9" i="8"/>
  <c r="V21" i="13" s="1"/>
  <c r="E6" i="9"/>
  <c r="C11" i="8"/>
  <c r="K23" i="13" s="1"/>
  <c r="C8" i="9"/>
  <c r="D68" i="8"/>
  <c r="T245" i="3"/>
  <c r="E70" i="8"/>
  <c r="U247" i="3"/>
  <c r="D13" i="8"/>
  <c r="V25" i="13" s="1"/>
  <c r="E10" i="9"/>
  <c r="C4" i="9"/>
  <c r="C7" i="8"/>
  <c r="K19" i="13" s="1"/>
  <c r="D64" i="8"/>
  <c r="T241" i="3"/>
  <c r="D71" i="8"/>
  <c r="T248" i="3"/>
  <c r="E66" i="8"/>
  <c r="U243" i="3"/>
  <c r="D15" i="8"/>
  <c r="V27" i="13" s="1"/>
  <c r="E12" i="9"/>
  <c r="D8" i="8"/>
  <c r="V20" i="13" s="1"/>
  <c r="E5" i="9"/>
  <c r="C10" i="8"/>
  <c r="K22" i="13" s="1"/>
  <c r="C7" i="9"/>
  <c r="D69" i="8"/>
  <c r="T246" i="3"/>
  <c r="E69" i="8"/>
  <c r="U246" i="3"/>
  <c r="D7" i="8"/>
  <c r="V19" i="13" s="1"/>
  <c r="E4" i="9"/>
  <c r="C9" i="8"/>
  <c r="K21" i="13" s="1"/>
  <c r="C6" i="9"/>
  <c r="D62" i="8"/>
  <c r="T239" i="3"/>
  <c r="D70" i="8"/>
  <c r="T247" i="3"/>
  <c r="E68" i="8"/>
  <c r="U245" i="3"/>
  <c r="E11" i="9"/>
  <c r="D14" i="8"/>
  <c r="V26" i="13" s="1"/>
  <c r="C15" i="8"/>
  <c r="K27" i="13" s="1"/>
  <c r="C12" i="9"/>
  <c r="C8" i="8"/>
  <c r="K20" i="13" s="1"/>
  <c r="C5" i="9"/>
  <c r="F163" i="3"/>
  <c r="D63" i="8"/>
  <c r="T240" i="3"/>
  <c r="E67" i="8"/>
  <c r="U244" i="3"/>
  <c r="D12" i="8"/>
  <c r="V24" i="13" s="1"/>
  <c r="E9" i="9"/>
  <c r="C11" i="9"/>
  <c r="C14" i="8"/>
  <c r="K26" i="13" s="1"/>
  <c r="D65" i="8"/>
  <c r="T242" i="3"/>
  <c r="E62" i="8"/>
  <c r="U239" i="3"/>
  <c r="E65" i="8"/>
  <c r="U242" i="3"/>
  <c r="E158" i="3"/>
  <c r="D181" i="3" s="1"/>
  <c r="E181" i="3" s="1"/>
  <c r="P181" i="3" s="1"/>
  <c r="H34" i="8" s="1"/>
  <c r="V32" i="14" s="1"/>
  <c r="E8" i="9"/>
  <c r="D11" i="8"/>
  <c r="V23" i="13" s="1"/>
  <c r="C13" i="8"/>
  <c r="K25" i="13" s="1"/>
  <c r="C10" i="9"/>
  <c r="D66" i="8"/>
  <c r="T243" i="3"/>
  <c r="E71" i="8"/>
  <c r="U248" i="3"/>
  <c r="E64" i="8"/>
  <c r="U241" i="3"/>
  <c r="E205" i="3"/>
  <c r="F205" i="3" s="1"/>
  <c r="J256" i="3"/>
  <c r="F227" i="3"/>
  <c r="F196" i="3"/>
  <c r="Q196" i="3" s="1"/>
  <c r="D54" i="8" s="1"/>
  <c r="P52" i="13" s="1"/>
  <c r="H136" i="3"/>
  <c r="E219" i="3"/>
  <c r="F219" i="3" s="1"/>
  <c r="E173" i="3"/>
  <c r="D183" i="3" s="1"/>
  <c r="E183" i="3" s="1"/>
  <c r="P183" i="3" s="1"/>
  <c r="H36" i="8" s="1"/>
  <c r="V34" i="14" s="1"/>
  <c r="E207" i="3"/>
  <c r="F207" i="3" s="1"/>
  <c r="E215" i="3"/>
  <c r="D232" i="3" s="1"/>
  <c r="F170" i="3"/>
  <c r="F192" i="3"/>
  <c r="Q192" i="3" s="1"/>
  <c r="D50" i="8" s="1"/>
  <c r="P48" i="13" s="1"/>
  <c r="E206" i="3"/>
  <c r="F206" i="3" s="1"/>
  <c r="E234" i="3"/>
  <c r="P234" i="3" s="1"/>
  <c r="H51" i="8" s="1"/>
  <c r="P42" i="14" s="1"/>
  <c r="F193" i="3"/>
  <c r="Q193" i="3" s="1"/>
  <c r="D51" i="8" s="1"/>
  <c r="P49" i="13" s="1"/>
  <c r="F228" i="3"/>
  <c r="E201" i="3"/>
  <c r="F201" i="3" s="1"/>
  <c r="Q201" i="3" s="1"/>
  <c r="D59" i="8" s="1"/>
  <c r="H88" i="3"/>
  <c r="Q88" i="3" s="1"/>
  <c r="I136" i="3"/>
  <c r="D136" i="3"/>
  <c r="C233" i="3"/>
  <c r="C232" i="3"/>
  <c r="F212" i="3"/>
  <c r="J136" i="3"/>
  <c r="F156" i="3"/>
  <c r="F89" i="3"/>
  <c r="P89" i="3" s="1"/>
  <c r="E182" i="3"/>
  <c r="P182" i="3" s="1"/>
  <c r="H35" i="8" s="1"/>
  <c r="V33" i="14" s="1"/>
  <c r="C136" i="3"/>
  <c r="M132" i="3"/>
  <c r="Q132" i="3" s="1"/>
  <c r="M134" i="3"/>
  <c r="Q134" i="3" s="1"/>
  <c r="L136" i="3"/>
  <c r="P136" i="3" s="1"/>
  <c r="H24" i="8" s="1"/>
  <c r="C185" i="3"/>
  <c r="K136" i="3"/>
  <c r="M125" i="3"/>
  <c r="G136" i="3"/>
  <c r="F136" i="3"/>
  <c r="E136" i="3"/>
  <c r="H89" i="3"/>
  <c r="Q89" i="3" s="1"/>
  <c r="M118" i="3"/>
  <c r="M112" i="3"/>
  <c r="M133" i="3"/>
  <c r="Q133" i="3" s="1"/>
  <c r="F67" i="3"/>
  <c r="G92" i="3"/>
  <c r="H91" i="3"/>
  <c r="Q91" i="3" s="1"/>
  <c r="D90" i="3"/>
  <c r="H90" i="3" s="1"/>
  <c r="Q90" i="3" s="1"/>
  <c r="E90" i="3"/>
  <c r="E92" i="3" s="1"/>
  <c r="C90" i="3"/>
  <c r="F91" i="3"/>
  <c r="P91" i="3" s="1"/>
  <c r="F88" i="3"/>
  <c r="P88" i="3" s="1"/>
  <c r="J6" i="12"/>
  <c r="D276" i="3"/>
  <c r="G276" i="3"/>
  <c r="J276" i="3" s="1"/>
  <c r="K271" i="3"/>
  <c r="K276" i="3"/>
  <c r="D271" i="3"/>
  <c r="G271" i="3"/>
  <c r="D264" i="3"/>
  <c r="G264" i="3"/>
  <c r="K257" i="3"/>
  <c r="J257" i="3"/>
  <c r="K250" i="3"/>
  <c r="J250" i="3"/>
  <c r="F178" i="3"/>
  <c r="F165" i="3"/>
  <c r="F151" i="3"/>
  <c r="Q151" i="3" s="1"/>
  <c r="D45" i="8" s="1"/>
  <c r="F85" i="3"/>
  <c r="H85" i="3"/>
  <c r="H81" i="3"/>
  <c r="F81" i="3"/>
  <c r="F74" i="3"/>
  <c r="H74" i="3"/>
  <c r="F68" i="3"/>
  <c r="H68" i="3"/>
  <c r="F62" i="3"/>
  <c r="P62" i="3" s="1"/>
  <c r="H62" i="3"/>
  <c r="Q62" i="3" s="1"/>
  <c r="K17" i="11" l="1"/>
  <c r="J17" i="11"/>
  <c r="I6" i="9"/>
  <c r="K7" i="13" s="1"/>
  <c r="I10" i="9"/>
  <c r="K11" i="13" s="1"/>
  <c r="I12" i="9"/>
  <c r="K13" i="13" s="1"/>
  <c r="I13" i="9"/>
  <c r="K14" i="13" s="1"/>
  <c r="I7" i="9"/>
  <c r="K8" i="13" s="1"/>
  <c r="I5" i="9"/>
  <c r="K6" i="13" s="1"/>
  <c r="I8" i="9"/>
  <c r="K9" i="13" s="1"/>
  <c r="F158" i="3"/>
  <c r="F173" i="3"/>
  <c r="I4" i="9"/>
  <c r="K5" i="13" s="1"/>
  <c r="C17" i="9"/>
  <c r="H6" i="8"/>
  <c r="K25" i="14" s="1"/>
  <c r="E73" i="8"/>
  <c r="U250" i="3"/>
  <c r="C17" i="8"/>
  <c r="C14" i="9"/>
  <c r="E19" i="9"/>
  <c r="I8" i="8"/>
  <c r="V27" i="14" s="1"/>
  <c r="I20" i="8"/>
  <c r="K32" i="14" s="1"/>
  <c r="G17" i="9"/>
  <c r="E232" i="3"/>
  <c r="P232" i="3" s="1"/>
  <c r="H49" i="8" s="1"/>
  <c r="P40" i="14" s="1"/>
  <c r="I11" i="9"/>
  <c r="K12" i="13" s="1"/>
  <c r="I21" i="8"/>
  <c r="K33" i="14" s="1"/>
  <c r="G18" i="9"/>
  <c r="D73" i="8"/>
  <c r="T250" i="3"/>
  <c r="D17" i="8"/>
  <c r="E14" i="9"/>
  <c r="G19" i="9"/>
  <c r="I22" i="8"/>
  <c r="K34" i="14" s="1"/>
  <c r="I9" i="8"/>
  <c r="V28" i="14" s="1"/>
  <c r="E20" i="9"/>
  <c r="I9" i="9"/>
  <c r="K10" i="13" s="1"/>
  <c r="E18" i="9"/>
  <c r="I7" i="8"/>
  <c r="V26" i="14" s="1"/>
  <c r="C18" i="9"/>
  <c r="H7" i="8"/>
  <c r="K26" i="14" s="1"/>
  <c r="I6" i="8"/>
  <c r="V25" i="14" s="1"/>
  <c r="E17" i="9"/>
  <c r="H9" i="8"/>
  <c r="K28" i="14" s="1"/>
  <c r="C20" i="9"/>
  <c r="I3" i="9"/>
  <c r="K4" i="13" s="1"/>
  <c r="D185" i="3"/>
  <c r="E185" i="3" s="1"/>
  <c r="P185" i="3" s="1"/>
  <c r="H38" i="8" s="1"/>
  <c r="E223" i="3"/>
  <c r="D233" i="3" s="1"/>
  <c r="E233" i="3" s="1"/>
  <c r="P233" i="3" s="1"/>
  <c r="H50" i="8" s="1"/>
  <c r="P41" i="14" s="1"/>
  <c r="J271" i="3"/>
  <c r="J264" i="3"/>
  <c r="F215" i="3"/>
  <c r="E208" i="3"/>
  <c r="C235" i="3"/>
  <c r="M136" i="3"/>
  <c r="Q136" i="3" s="1"/>
  <c r="F90" i="3"/>
  <c r="P90" i="3" s="1"/>
  <c r="D92" i="3"/>
  <c r="H92" i="3" s="1"/>
  <c r="Q92" i="3" s="1"/>
  <c r="C92" i="3"/>
  <c r="J10" i="1"/>
  <c r="F223" i="3" l="1"/>
  <c r="I14" i="9"/>
  <c r="I10" i="8"/>
  <c r="E21" i="9"/>
  <c r="I20" i="9"/>
  <c r="K21" i="14" s="1"/>
  <c r="I24" i="8"/>
  <c r="G21" i="9"/>
  <c r="I18" i="9"/>
  <c r="K19" i="14" s="1"/>
  <c r="C19" i="9"/>
  <c r="I19" i="9" s="1"/>
  <c r="K20" i="14" s="1"/>
  <c r="H8" i="8"/>
  <c r="K27" i="14" s="1"/>
  <c r="I17" i="9"/>
  <c r="K18" i="14" s="1"/>
  <c r="F208" i="3"/>
  <c r="D231" i="3"/>
  <c r="F92" i="3"/>
  <c r="P92" i="3" s="1"/>
  <c r="C21" i="9" l="1"/>
  <c r="I21" i="9" s="1"/>
  <c r="H10" i="8"/>
  <c r="D235" i="3"/>
  <c r="E235" i="3" s="1"/>
  <c r="P235" i="3" s="1"/>
  <c r="H52" i="8" s="1"/>
  <c r="E231" i="3"/>
  <c r="P231" i="3" s="1"/>
  <c r="H48" i="8" s="1"/>
  <c r="P39" i="14" s="1"/>
</calcChain>
</file>

<file path=xl/sharedStrings.xml><?xml version="1.0" encoding="utf-8"?>
<sst xmlns="http://schemas.openxmlformats.org/spreadsheetml/2006/main" count="7973" uniqueCount="465">
  <si>
    <t>Team member</t>
  </si>
  <si>
    <t>Team</t>
  </si>
  <si>
    <t>Total Expected Working Hours per Sprint</t>
  </si>
  <si>
    <t>Total official vacation</t>
  </si>
  <si>
    <t xml:space="preserve">Total personal Days Off </t>
  </si>
  <si>
    <t>Remaining Capacity</t>
  </si>
  <si>
    <t>Now</t>
  </si>
  <si>
    <t>Ahmed Talaat &lt;atalaat@youxel.com&gt;</t>
  </si>
  <si>
    <t>Development</t>
  </si>
  <si>
    <t>Design</t>
  </si>
  <si>
    <t>Alaa Ezzat &lt;aezzat@youxel.com&gt;</t>
  </si>
  <si>
    <t>Frontend</t>
  </si>
  <si>
    <t>Enas Diab &lt;ediab@youxel.com&gt;</t>
  </si>
  <si>
    <t>Front End</t>
  </si>
  <si>
    <t>Galal Torkey &lt;gtorkey@youxel.com&gt;</t>
  </si>
  <si>
    <t>Testing</t>
  </si>
  <si>
    <t>Hussein Abdallah &lt;habdallah@youxel.com&gt;</t>
  </si>
  <si>
    <t>IOS Dev</t>
  </si>
  <si>
    <t>Mahmoud Adel Ali &lt;madeel@youxel.com&gt;</t>
  </si>
  <si>
    <t>Andriod Dev</t>
  </si>
  <si>
    <t>Mahmoud Ibrahim Elfeqy &lt;mfeqy@youxel.com&gt;</t>
  </si>
  <si>
    <t>Mohamed Mustafa Farrag &lt;mfarrag@youxel.com&gt;</t>
  </si>
  <si>
    <t>Salma Sameh &lt;ssameh@youxel.com&gt;</t>
  </si>
  <si>
    <t>Shimaa Mohamed Elsayed &lt;shhadad@youxel.com&gt;</t>
  </si>
  <si>
    <t>Total</t>
  </si>
  <si>
    <t>Sprint Name: Check Now 26.15</t>
  </si>
  <si>
    <t>EPIC</t>
  </si>
  <si>
    <t>Parent</t>
  </si>
  <si>
    <t>Work Item Type</t>
  </si>
  <si>
    <t>Title</t>
  </si>
  <si>
    <t>State</t>
  </si>
  <si>
    <t>Story Points</t>
  </si>
  <si>
    <t>CHECK UI Library</t>
  </si>
  <si>
    <t>User Story</t>
  </si>
  <si>
    <t>Select Button</t>
  </si>
  <si>
    <t>Ready For Review</t>
  </si>
  <si>
    <t>Breadcrumb Component</t>
  </si>
  <si>
    <t>Tree Table component</t>
  </si>
  <si>
    <t>In Development</t>
  </si>
  <si>
    <t>Org Chart Component</t>
  </si>
  <si>
    <t>Table component</t>
  </si>
  <si>
    <t>Communication Module (Messages)</t>
  </si>
  <si>
    <t>Active</t>
  </si>
  <si>
    <t>Chat Testing</t>
  </si>
  <si>
    <t>As a user I can start new conversation</t>
  </si>
  <si>
    <t>As a user I can send text message in a conversation</t>
  </si>
  <si>
    <t>As a user I can interact with sent messages</t>
  </si>
  <si>
    <t>As a user I can see list of my conversations</t>
  </si>
  <si>
    <t>In Bug Fixing</t>
  </si>
  <si>
    <t>As a user I can react on any message</t>
  </si>
  <si>
    <t>As a user I can delete my messages</t>
  </si>
  <si>
    <t>As a user I can mark message as unread</t>
  </si>
  <si>
    <t>As a user I can edit my messages</t>
  </si>
  <si>
    <t>As a user I can send attachment in a conversation</t>
  </si>
  <si>
    <t>As a user I can reply on any message</t>
  </si>
  <si>
    <t>As a user I can forward a message</t>
  </si>
  <si>
    <t>As a user I can search in the conversation for certain message (Full screen)</t>
  </si>
  <si>
    <t>As a user I can see the shared files (full screen)</t>
  </si>
  <si>
    <t>As a user I can record an audio and send it over conversation</t>
  </si>
  <si>
    <t>As a user I can send link in the conversation</t>
  </si>
  <si>
    <t>As a user I can pin a message</t>
  </si>
  <si>
    <t>Administration Module</t>
  </si>
  <si>
    <t>Lookups Bulk Create</t>
  </si>
  <si>
    <t>Administration Gateway</t>
  </si>
  <si>
    <t>Workflow Library</t>
  </si>
  <si>
    <t>Set/Edit Company information</t>
  </si>
  <si>
    <t>Multitenancy</t>
  </si>
  <si>
    <t>User should be able to manage location types</t>
  </si>
  <si>
    <t>User should be able to manage location subcategory</t>
  </si>
  <si>
    <t>User should be able to manage Location categories</t>
  </si>
  <si>
    <t>User should be able to manage location importance</t>
  </si>
  <si>
    <t>User should be able to manage location account</t>
  </si>
  <si>
    <t>User should be able to view location tree (org chart)</t>
  </si>
  <si>
    <t>User should be able to view Locations List</t>
  </si>
  <si>
    <t>User should be able to add location optional information</t>
  </si>
  <si>
    <t>User should be able to view location details screen</t>
  </si>
  <si>
    <t>User should be able to search for location by (name/shortcode)</t>
  </si>
  <si>
    <t>New</t>
  </si>
  <si>
    <t>User should be able to delete parent location</t>
  </si>
  <si>
    <t>User should be able to move location from one parent to another</t>
  </si>
  <si>
    <t>User should be able to handle location translation</t>
  </si>
  <si>
    <t>Done</t>
  </si>
  <si>
    <t>MidSprint_Addition</t>
  </si>
  <si>
    <t>Ad-hoc</t>
  </si>
  <si>
    <t>Item</t>
  </si>
  <si>
    <t>Check Now 25.14</t>
  </si>
  <si>
    <t>Escaped Bugs</t>
  </si>
  <si>
    <t>Planned SP</t>
  </si>
  <si>
    <t>Actual SP</t>
  </si>
  <si>
    <t>Estimated Development Effort</t>
  </si>
  <si>
    <t>Total Actual Development Effort</t>
  </si>
  <si>
    <t>Estimated Testing Effort</t>
  </si>
  <si>
    <t>Total Actual Testing Effort</t>
  </si>
  <si>
    <t>Bug Fixing Actual Effort</t>
  </si>
  <si>
    <t>Sum of Actual Hours</t>
  </si>
  <si>
    <t>Sum of Working Hours</t>
  </si>
  <si>
    <t> Measure </t>
  </si>
  <si>
    <t>Description </t>
  </si>
  <si>
    <t>Calculation </t>
  </si>
  <si>
    <t>Frequency </t>
  </si>
  <si>
    <t>Analysis </t>
  </si>
  <si>
    <t>Measures the difference between the actual done story points VS. the Planned story points </t>
  </si>
  <si>
    <t>Actual SP / Planned SP</t>
  </si>
  <si>
    <t xml:space="preserve">Sprint </t>
  </si>
  <si>
    <t>+90% </t>
  </si>
  <si>
    <t>Effort estimation accuracy percentage  </t>
  </si>
  <si>
    <t>Total Planned Development hours / Total Actual Development Hours </t>
  </si>
  <si>
    <t>Sum Total Planned hours/Total Actual Dev. Effort)</t>
  </si>
  <si>
    <t>Sprint </t>
  </si>
  <si>
    <t>90% - till 120% </t>
  </si>
  <si>
    <t>Project Rework Rate</t>
  </si>
  <si>
    <t>Project Calculate man hours used in fixing the bugs returned from testing compared to the total actual dev. hours.</t>
  </si>
  <si>
    <t>Bug Fixing Actual Effort /Total Actual Dev. Effort) *100 </t>
  </si>
  <si>
    <t>0% – 10%</t>
  </si>
  <si>
    <t>defects that bypass one or more testing or quality assurance stages and are later post released</t>
  </si>
  <si>
    <t>Number of bypass one or more testing or quality assurance stages </t>
  </si>
  <si>
    <t>Sprint / release</t>
  </si>
  <si>
    <t>2% -15%</t>
  </si>
  <si>
    <t>utilization</t>
  </si>
  <si>
    <t>This measure is related to the Actual effort VS. working hours</t>
  </si>
  <si>
    <t>(Sum of Actual hours / Sum working hours) *100 </t>
  </si>
  <si>
    <t>(90%-100%</t>
  </si>
  <si>
    <t>Effort Variance</t>
  </si>
  <si>
    <t>Calculate the variance of the estimated dev. Hours compared to the total actual dev. hours.</t>
  </si>
  <si>
    <t>((Total Actual Dev. Effort - Estimated Dev. Effort)/ Estimated Dev. Effort )*100</t>
  </si>
  <si>
    <t>5 – 10%</t>
  </si>
  <si>
    <t>Check Now 26.15</t>
  </si>
  <si>
    <t>Row Labels</t>
  </si>
  <si>
    <t>Grand Total</t>
  </si>
  <si>
    <t>Sum of Remaining Work</t>
  </si>
  <si>
    <t>Sum of Completed Work</t>
  </si>
  <si>
    <t>Sum of Original Estimate</t>
  </si>
  <si>
    <t>Performance Rate</t>
  </si>
  <si>
    <t>Capacity</t>
  </si>
  <si>
    <t>Utilization Per Staff</t>
  </si>
  <si>
    <t>Done Tasks %</t>
  </si>
  <si>
    <t>Total Tasks</t>
  </si>
  <si>
    <t>MidSprint_Addition %</t>
  </si>
  <si>
    <t>Ad-hoc %</t>
  </si>
  <si>
    <t>CMMI Productivity</t>
  </si>
  <si>
    <t>Total orignal estimation</t>
  </si>
  <si>
    <t>Total working hours</t>
  </si>
  <si>
    <t>Actual productivity</t>
  </si>
  <si>
    <t>Productivity Index</t>
  </si>
  <si>
    <t>Weight</t>
  </si>
  <si>
    <t>KPI</t>
  </si>
  <si>
    <t>Target Range</t>
  </si>
  <si>
    <t>Check Now 25.9</t>
  </si>
  <si>
    <t>Check Now 25.10</t>
  </si>
  <si>
    <t>Check Now 25.11</t>
  </si>
  <si>
    <t>Check Now 25.12</t>
  </si>
  <si>
    <t>Check Now 25.13</t>
  </si>
  <si>
    <t>0 bugs</t>
  </si>
  <si>
    <t>Dev. Effort Variance</t>
  </si>
  <si>
    <t>−22.2%</t>
  </si>
  <si>
    <t>−16.20%</t>
  </si>
  <si>
    <t>−14.05%</t>
  </si>
  <si>
    <t>Kpi Indicators Per Staff</t>
  </si>
  <si>
    <t>Team Member</t>
  </si>
  <si>
    <t>NA</t>
  </si>
  <si>
    <t>Performance Rate Per Staff</t>
  </si>
  <si>
    <t>Done Tasks Per Staff</t>
  </si>
  <si>
    <t>MidSprint_Addition Per Staff</t>
  </si>
  <si>
    <t>Kpi Indicators Per Team</t>
  </si>
  <si>
    <t xml:space="preserve">Team </t>
  </si>
  <si>
    <t>Performance Rate Per Team</t>
  </si>
  <si>
    <t xml:space="preserve">Utilization Per Team </t>
  </si>
  <si>
    <t>Done Tasks Per Team</t>
  </si>
  <si>
    <t>MidSprint_Addition Per Team</t>
  </si>
  <si>
    <t>Ad-hoc % Per Team</t>
  </si>
  <si>
    <t>Ad-hoc %  Per Staff</t>
  </si>
  <si>
    <t>Measure</t>
  </si>
  <si>
    <t>Description</t>
  </si>
  <si>
    <t>Formula</t>
  </si>
  <si>
    <t>Value</t>
  </si>
  <si>
    <t>Status</t>
  </si>
  <si>
    <t>Utilization</t>
  </si>
  <si>
    <t>Sprint Name: Check Now 26.16</t>
  </si>
  <si>
    <t>Check Now 26.16</t>
  </si>
  <si>
    <t>Assigned To</t>
  </si>
  <si>
    <t>Original Estimate</t>
  </si>
  <si>
    <t>Completed Work</t>
  </si>
  <si>
    <t>Remaining Work</t>
  </si>
  <si>
    <t>Priority</t>
  </si>
  <si>
    <t>Severity</t>
  </si>
  <si>
    <t>Phase</t>
  </si>
  <si>
    <t>Dev delivery date</t>
  </si>
  <si>
    <t>QC Delivery date</t>
  </si>
  <si>
    <t>Tags</t>
  </si>
  <si>
    <t>Task Category</t>
  </si>
  <si>
    <t>Activity</t>
  </si>
  <si>
    <t>Done Development</t>
  </si>
  <si>
    <t>Lottie Component</t>
  </si>
  <si>
    <t>Galleria Component</t>
  </si>
  <si>
    <t>Design System Adjustments</t>
  </si>
  <si>
    <t>End-to-End (E2E) Scenarios Testing</t>
  </si>
  <si>
    <t>Released</t>
  </si>
  <si>
    <t>Create Chat App</t>
  </si>
  <si>
    <t>View Onboarding progress indicator (progress menu)</t>
  </si>
  <si>
    <t>QC Review (Design &amp; BRD)</t>
  </si>
  <si>
    <t>Ready For Testing</t>
  </si>
  <si>
    <t>User should be able to activate/deactivate Location</t>
  </si>
  <si>
    <t>User should be able to delete sub location</t>
  </si>
  <si>
    <t>Manage KPI Indicators (CRUD + Localization)</t>
  </si>
  <si>
    <t>Learning, Development, and Process Improvement</t>
  </si>
  <si>
    <t>Automation Testing Cycle</t>
  </si>
  <si>
    <t>CMMI Reports</t>
  </si>
  <si>
    <t>CMMI</t>
  </si>
  <si>
    <t>Meetings &amp; Support</t>
  </si>
  <si>
    <t>Meeting logs iteration 26.16</t>
  </si>
  <si>
    <t>US</t>
  </si>
  <si>
    <t>Task</t>
  </si>
  <si>
    <t>Breadcrumb inputs/outputs</t>
  </si>
  <si>
    <t>UI: Lottie Color</t>
  </si>
  <si>
    <t>FE :: Edit in galleria component in UI kit</t>
  </si>
  <si>
    <t>FE:: Add action menu column to table</t>
  </si>
  <si>
    <t>UI:: Contextual Button Component</t>
  </si>
  <si>
    <t>Mariam Mohamed Saeed &lt;msaeed@youxel.com&gt;</t>
  </si>
  <si>
    <t>Design system: date and time documentation</t>
  </si>
  <si>
    <t>design systems: create date and time component</t>
  </si>
  <si>
    <t>Design system: recall text colors from semantics</t>
  </si>
  <si>
    <t>UI:: DropDown/Checkboxes/Radio:: Add other option &amp; Input</t>
  </si>
  <si>
    <t>Design system: typography</t>
  </si>
  <si>
    <t>UI:: Text Area:: Rich text editor</t>
  </si>
  <si>
    <t>Design system: Side Menu Documentation and add new variants</t>
  </si>
  <si>
    <t>UI:: Tree Select:: Documentation</t>
  </si>
  <si>
    <t>Documentation</t>
  </si>
  <si>
    <t>UI:: Tree Select:: Build Component</t>
  </si>
  <si>
    <t>Design system: pagination documentation</t>
  </si>
  <si>
    <t>UX:: Contextual Buttons Documentation</t>
  </si>
  <si>
    <t>UI:: File Upload/Multi Upload- Documentation</t>
  </si>
  <si>
    <t>UI:: File Upload/Multi Upload- View all component Variations</t>
  </si>
  <si>
    <t>Bug</t>
  </si>
  <si>
    <t>Closed</t>
  </si>
  <si>
    <t>Typing indicator appears immediately upon opening a conversation without typing</t>
  </si>
  <si>
    <t>Resolved</t>
  </si>
  <si>
    <t>2 - High</t>
  </si>
  <si>
    <t>Typing indicator is triggered when focusing and unfocusing the input field without typing</t>
  </si>
  <si>
    <t>Typing indicator is displayed to the receiver after the sender successfully sends image attachments, even though no text input or typing action occurs.</t>
  </si>
  <si>
    <t>New Messages Indicator does not appear when a new message is received in Full Screen Chat</t>
  </si>
  <si>
    <t>4 - Low</t>
  </si>
  <si>
    <t>FE:: Seen Message Logic</t>
  </si>
  <si>
    <t>FE:: Scroll to bottom and "New Messages" Button Cycle</t>
  </si>
  <si>
    <t>UI:: Message Types Enhancement</t>
  </si>
  <si>
    <t>FE:: Jump to Message integration</t>
  </si>
  <si>
    <t>FE:: Fetch Messages while Scrolling Up/Down</t>
  </si>
  <si>
    <t>Unread marker is displayed above a deleted message when marking the following message as unread</t>
  </si>
  <si>
    <t>In Review</t>
  </si>
  <si>
    <t>UX:: Limitations for Files Uploaded/ Voice Messages</t>
  </si>
  <si>
    <t>UI: Error: on image</t>
  </si>
  <si>
    <t>UI UX :: handle error case when open image first time</t>
  </si>
  <si>
    <t>UI/UX:: Show Case Multiple Files in Message Bubble</t>
  </si>
  <si>
    <t>UI/UX: Create popup for Access Denied when try to go to message</t>
  </si>
  <si>
    <t>FE:: Go To selected Message</t>
  </si>
  <si>
    <t>FE:: Update Message Box UI for the selected searched Message</t>
  </si>
  <si>
    <t>FE:: Voice Recorder Component Logic</t>
  </si>
  <si>
    <t>BE :: Update Messages to Support Sending Voice Records</t>
  </si>
  <si>
    <t>On Hold</t>
  </si>
  <si>
    <t>UI:: Organization Identifier</t>
  </si>
  <si>
    <t>Setup Finbuckle + Tenant Domain Models – Package integration, Organization entity, UserOrganization entity, EF configs &amp; migration</t>
  </si>
  <si>
    <t>Tenant Resolution Strategies – Header-based, subdomain, path resolvers + ICurrentTenant accessor</t>
  </si>
  <si>
    <t>Tenant-Aware Seed Data – Seeder infrastructure, refactor existing seeds, org onboarding defaults</t>
  </si>
  <si>
    <t>Add Tenant Entity and New Host Context</t>
  </si>
  <si>
    <t>Analyze Requirements &amp; Videos</t>
  </si>
  <si>
    <t>Gather Requirements</t>
  </si>
  <si>
    <t>Business</t>
  </si>
  <si>
    <t>Reviewing CheckNow System (new)</t>
  </si>
  <si>
    <t>Review</t>
  </si>
  <si>
    <t>UI: Loading, error handle, Saving Location Types</t>
  </si>
  <si>
    <t>UI: Revisit The UX of the Delete Dialog</t>
  </si>
  <si>
    <t>UI: Check this action to reflect it in location listing</t>
  </si>
  <si>
    <t>BE :: Activate-Deactivate Locations</t>
  </si>
  <si>
    <t>UI:: Update All tables: Active &amp; Inactive Status</t>
  </si>
  <si>
    <t>Design:: update kpi indicator table</t>
  </si>
  <si>
    <t>BE:: fix kpi indicators list translation</t>
  </si>
  <si>
    <t>BE:: fix kpi indicator delete api</t>
  </si>
  <si>
    <t>API Requests integration with Playwright</t>
  </si>
  <si>
    <t>Test Automation</t>
  </si>
  <si>
    <t>CMMI Documentation Preparing</t>
  </si>
  <si>
    <t>Talaat :: Stand-Ups, Meetings and Team Support</t>
  </si>
  <si>
    <t>Meetings</t>
  </si>
  <si>
    <t>Maryam: Stand ups and Meetings</t>
  </si>
  <si>
    <t>Alaa:: Meetings</t>
  </si>
  <si>
    <t>Feqy :: Stand-Ups, Meetings and Team Support</t>
  </si>
  <si>
    <t>M Adel :: Stand-Ups, Meetings and Team Support</t>
  </si>
  <si>
    <t>Salma: Meetings</t>
  </si>
  <si>
    <t>All</t>
  </si>
  <si>
    <t>Tasks</t>
  </si>
  <si>
    <t>Bugs</t>
  </si>
  <si>
    <t>Completion rate</t>
  </si>
  <si>
    <t xml:space="preserve"> Escaped Bugs</t>
  </si>
  <si>
    <t>Completion rate</t>
  </si>
  <si>
    <t>UX/Ideate: SCENARIO 3: Creae user task</t>
  </si>
  <si>
    <t>UX/Ideate: SCENARIO 6: Working With Variables &amp; Data</t>
  </si>
  <si>
    <t>UX/Ideate: SCENARIO 4: Creating events</t>
  </si>
  <si>
    <t>UX/Ideate: SCENARIO 5: Creating routers (gateways)</t>
  </si>
  <si>
    <t>UX/Wireframes: Node space</t>
  </si>
  <si>
    <t>UX/Ideate: SCENARIO 9: Editing &amp; Scaling Existing Workflows</t>
  </si>
  <si>
    <t>UX/Ideate: SCENARIO 7: Testing the Workflow &amp; Handle errors</t>
  </si>
  <si>
    <t>Create Workflow System</t>
  </si>
  <si>
    <t>DEV</t>
  </si>
  <si>
    <t xml:space="preserve">Ad-hoc </t>
  </si>
  <si>
    <t>Check Now 26.17</t>
  </si>
  <si>
    <t>Sprint Name: Check Now 26.17</t>
  </si>
  <si>
    <t>Date: 25 JAN to 05 FEB</t>
  </si>
  <si>
    <t>CHECK NOW (Check Now 26.17)</t>
  </si>
  <si>
    <t>Ready for release</t>
  </si>
  <si>
    <t>Input Switch Component</t>
  </si>
  <si>
    <t>As a owner of a group I can change the group name</t>
  </si>
  <si>
    <t>As a owner of the group I can change the group image</t>
  </si>
  <si>
    <t>As owner of the group I can remove the group image</t>
  </si>
  <si>
    <t>Administration Portal API</t>
  </si>
  <si>
    <t>Locations Flat Relations</t>
  </si>
  <si>
    <t>Upload/Change Company Logo</t>
  </si>
  <si>
    <t>Set Company Identity</t>
  </si>
  <si>
    <t>Set / Edit the supported langauges</t>
  </si>
  <si>
    <t>User should be able to view POI categories</t>
  </si>
  <si>
    <t>User should be able to add loction with its mandatory information</t>
  </si>
  <si>
    <t>User should be able to add location attachments</t>
  </si>
  <si>
    <t>User should be able to edit locations</t>
  </si>
  <si>
    <t>User should be able to move sub-locations from one parent to another</t>
  </si>
  <si>
    <t>Kpi Definistion Form</t>
  </si>
  <si>
    <t>Kpi Definisions View</t>
  </si>
  <si>
    <t>Meeting logs iteration 26.17</t>
  </si>
  <si>
    <t>US + All</t>
  </si>
  <si>
    <t>BreadCrumb-menu</t>
  </si>
  <si>
    <t>Create Lottie Component Structure &amp; inputs</t>
  </si>
  <si>
    <t>UI:: Toggle Button</t>
  </si>
  <si>
    <t>Design :: Unify status and tag components</t>
  </si>
  <si>
    <t>UI:: Split button- Documentation</t>
  </si>
  <si>
    <t>UI:: Split button- Create Components</t>
  </si>
  <si>
    <t>UX:: Documentation Tabs / Tab Category</t>
  </si>
  <si>
    <t>UI:: Tabs Variants&gt;&gt; Survey</t>
  </si>
  <si>
    <t>Design system: spaces</t>
  </si>
  <si>
    <t>UI:: Focus status For Inputs</t>
  </si>
  <si>
    <t>UI: Progress icon shape</t>
  </si>
  <si>
    <t>UI:: File Upload Progress- Documentation</t>
  </si>
  <si>
    <t>UI:: File Upload Progress- View All Variations</t>
  </si>
  <si>
    <t>UI:: File Upload/ Single- Documentation</t>
  </si>
  <si>
    <t>UX:: Documentation:: Difference between Contextual Button / Link</t>
  </si>
  <si>
    <t>Next Sprint</t>
  </si>
  <si>
    <t>QC:: Automate Test Cases</t>
  </si>
  <si>
    <t>Conversation list does not show latest conversations after login until page refresh</t>
  </si>
  <si>
    <t>Search does not return user when typing the full exact name while creating a new conversation</t>
  </si>
  <si>
    <t>FE:: Handle Socket Updates in Anchor Mode</t>
  </si>
  <si>
    <t>FE:: Start Point for anchor Mode</t>
  </si>
  <si>
    <t>FE:: Verify common properties (notes) with anchor mode</t>
  </si>
  <si>
    <t>FE:: Exit Anchor Mode When Sending Message to see pending messages</t>
  </si>
  <si>
    <t>FE:: Update Has More Flags</t>
  </si>
  <si>
    <t>FE:: Anchor Mode Investigation</t>
  </si>
  <si>
    <t>Undo option disappears after switching to another conversation</t>
  </si>
  <si>
    <t>FE:: Add Undo Text button type</t>
  </si>
  <si>
    <t>Fix::. Unread marker is displayed above a deleted message when marking the following message as unread</t>
  </si>
  <si>
    <t>FE:: Create Forward Popup UI</t>
  </si>
  <si>
    <t>FE:: Forward Message Integration</t>
  </si>
  <si>
    <t>FE:: Use Forward-message-box in input-message and message-box</t>
  </si>
  <si>
    <t>FE:: Update Input-message with Forward Mode</t>
  </si>
  <si>
    <t>FE:: Jump to Forwarded Message</t>
  </si>
  <si>
    <t>FE:: Create popup for Access Denied when try to go to message</t>
  </si>
  <si>
    <t>FE :: Use content display component in replay and forward component</t>
  </si>
  <si>
    <t>FE:: Create Reusable Component select-users</t>
  </si>
  <si>
    <t>FE :: Add edit group name popups</t>
  </si>
  <si>
    <t>FE :: Integrate with api to change group name</t>
  </si>
  <si>
    <t>FE:: Update Caching after changing group name</t>
  </si>
  <si>
    <t>FE:: Get voice from storage and show it in message box</t>
  </si>
  <si>
    <t>FE :: Indicate users when someone is recording</t>
  </si>
  <si>
    <t>BE :: Searching for the possibility of implementation FFmpeg</t>
  </si>
  <si>
    <t>BE :: Add Essential Ffmpeg binaries</t>
  </si>
  <si>
    <t>FE:: Change Group image Integration</t>
  </si>
  <si>
    <t>FE:: Update Cashing after change group image</t>
  </si>
  <si>
    <t>FE:: Remove Group Image integration</t>
  </si>
  <si>
    <t>FE:: Update Caching after remove group image</t>
  </si>
  <si>
    <t>FE:: Remove Popup UI</t>
  </si>
  <si>
    <t>QC:: Analyze Requirements &amp; Identify Business Gaps</t>
  </si>
  <si>
    <t>FE:: add organization identifier input field with custom validations</t>
  </si>
  <si>
    <t>FE:: add identfier to url domain</t>
  </si>
  <si>
    <t>FE:: updated changed apis</t>
  </si>
  <si>
    <t>BE :: Add System Commponents to Host</t>
  </si>
  <si>
    <t>Add Flat Relations Table and Trigger</t>
  </si>
  <si>
    <t>Search Tree Table</t>
  </si>
  <si>
    <t>QC:: Design Test Cases</t>
  </si>
  <si>
    <t>Write Test Cases</t>
  </si>
  <si>
    <t>BE :: Implement Activate and Deactivate Features</t>
  </si>
  <si>
    <t>FE:: Create routes and components - service -interfaces</t>
  </si>
  <si>
    <t>FE:: create KPI criteria form Ui</t>
  </si>
  <si>
    <t>FE:: KPI criteria integration</t>
  </si>
  <si>
    <t>FE:: Weight form ui</t>
  </si>
  <si>
    <t>FE:: Weight form integration</t>
  </si>
  <si>
    <t>Design :: add responsive design</t>
  </si>
  <si>
    <t>FE:: create kpi definision view page ui</t>
  </si>
  <si>
    <t>FE:: kpi definistion view integration</t>
  </si>
  <si>
    <t>UX/Ideate: Finalize all builder wireframes</t>
  </si>
  <si>
    <t>UX: Plan for usability testing</t>
  </si>
  <si>
    <t>Recurring</t>
  </si>
  <si>
    <t>UX: Prep + structure UI phase</t>
  </si>
  <si>
    <t>UX/Define: Builder Information architecture</t>
  </si>
  <si>
    <t>UX/Define: Create user flows (start event &amp; user task)</t>
  </si>
  <si>
    <t>UX: Create workflow user personas (hypothesis)</t>
  </si>
  <si>
    <t>BE :: Creat Workflows Project Template</t>
  </si>
  <si>
    <t>UX/Define: Document all builder wireframes results</t>
  </si>
  <si>
    <t>Feqy :: Study FormBuilder &amp; Survey Implementation</t>
  </si>
  <si>
    <t>BE :: Template Adjusment (Version &amp; Multi-Tenant)</t>
  </si>
  <si>
    <t>BE :: Setup Vault Configuration in Base Template</t>
  </si>
  <si>
    <t>BE :: Create Workflow Base Entities</t>
  </si>
  <si>
    <t>BE :: Redis Function Investigation &amp; Research</t>
  </si>
  <si>
    <t>BE :: Redis Function POC</t>
  </si>
  <si>
    <t>BE :: Configure Entities And Add Database Migrations</t>
  </si>
  <si>
    <t>BE :: Add Complete Node Types Reference Document</t>
  </si>
  <si>
    <t>Edit "Complete Node Types Reference" Document on Notion</t>
  </si>
  <si>
    <t>Investigate Flowable Multi-Instance Output</t>
  </si>
  <si>
    <t>Investigate Camunda Multi-Instance Output</t>
  </si>
  <si>
    <t>Update Business Status to be on Nodes</t>
  </si>
  <si>
    <t>Investigate Removing Edges</t>
  </si>
  <si>
    <t>UI: Prepare the wireframes for the UI phase V2.2</t>
  </si>
  <si>
    <t>Alhussien :: stand-up - meetings</t>
  </si>
  <si>
    <t>Galal::Meetings and Logs</t>
  </si>
  <si>
    <t>Shaimaa:: Stand-ups, Meetings, Reviews and Team Support</t>
  </si>
  <si>
    <t>TESTING</t>
  </si>
  <si>
    <t>Completion Rate</t>
  </si>
  <si>
    <t>102 / 57</t>
  </si>
  <si>
    <t>569 / 776</t>
  </si>
  <si>
    <t>(2 / 776) × 100</t>
  </si>
  <si>
    <t>Defects found after release</t>
  </si>
  <si>
    <t>(876 / 680) × 100</t>
  </si>
  <si>
    <t>Effort Variance (Dev)</t>
  </si>
  <si>
    <t>((776 − 569) / 569) × 100</t>
  </si>
  <si>
    <t>Measures the difference between the actual done story points vs. the planned story points</t>
  </si>
  <si>
    <t>≥ 90%</t>
  </si>
  <si>
    <t>Effort Estimation Accuracy % (Dev)</t>
  </si>
  <si>
    <t>Planned development hours vs. actual development hours</t>
  </si>
  <si>
    <t>90% – 120%</t>
  </si>
  <si>
    <t>Bug fixing effort compared to total actual development effort</t>
  </si>
  <si>
    <t>Count = 0</t>
  </si>
  <si>
    <t>2% – 15%</t>
  </si>
  <si>
    <t>Actual effort vs. available working hours</t>
  </si>
  <si>
    <t>90% – 100%</t>
  </si>
  <si>
    <t>Variance between estimated and actual development effort</t>
  </si>
  <si>
    <t>5% – 10%</t>
  </si>
  <si>
    <t>⚠️ Over-commitment</t>
  </si>
  <si>
    <t>❌ Under-estimated</t>
  </si>
  <si>
    <t>✅ Healthy</t>
  </si>
  <si>
    <t>⚠️ Below Expected*</t>
  </si>
  <si>
    <t>❌ Over-utilized</t>
  </si>
  <si>
    <t>❌ High Variance</t>
  </si>
  <si>
    <t>Sprint Name</t>
  </si>
  <si>
    <t>Product</t>
  </si>
  <si>
    <t>Check Now</t>
  </si>
  <si>
    <t>Manual</t>
  </si>
  <si>
    <t>Date From</t>
  </si>
  <si>
    <t>Date To</t>
  </si>
  <si>
    <t>All Sprint Details</t>
  </si>
  <si>
    <t>All Sprint Data</t>
  </si>
  <si>
    <t>All Team data with tag MidSprint_Addition</t>
  </si>
  <si>
    <t>All Team data with Ad-hoc</t>
  </si>
  <si>
    <t>Sum all work item type  "Original Estimate" in the activity development, frontend, and design from All Sprint data</t>
  </si>
  <si>
    <t>Sum all work item type "Completed Work "in the activity development, frontend, and design from All Sprint data</t>
  </si>
  <si>
    <t>Sum all work item type"Original Estimate" in the activity Testing from All Sprint data</t>
  </si>
  <si>
    <t>Sum all work item type "Original Estimate" in the activity Testing from All Sprint data</t>
  </si>
  <si>
    <t>Sum all work item type "Completed Work " with tag "Bug Fixing Actual Effort"</t>
  </si>
  <si>
    <t>Sum all work item typeCompleted Work " in the activity all</t>
  </si>
  <si>
    <t>Team Capacity</t>
  </si>
  <si>
    <t>Sum Remaining Capacity from Team Capacity</t>
  </si>
  <si>
    <t>CMMI Measures</t>
  </si>
  <si>
    <t xml:space="preserve">from data table per name </t>
  </si>
  <si>
    <t xml:space="preserve">from the same tag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</si>
</sst>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1" formatCode="[$]dddd\,\ mmmm\ d\,\ yyyy;@" x16r2:formatCode16="[$-en-EG,1]dddd\,\ mmmm\ d\,\ yyyy;@"/>
  </numFmts>
  <fonts count="23">
    <font>
      <sz val="11"/>
      <color theme="1"/>
      <name val="Aptos-Light"/>
      <family val="2"/>
    </font>
    <font>
      <sz val="11"/>
      <color theme="1"/>
      <name val="Aptos-Light"/>
      <family val="2"/>
    </font>
    <font>
      <sz val="11"/>
      <color theme="0"/>
      <name val="Aptos-Light"/>
      <family val="2"/>
    </font>
    <font>
      <sz val="11"/>
      <color theme="0"/>
      <name val="Aptos Light"/>
    </font>
    <font>
      <sz val="11"/>
      <color theme="1"/>
      <name val="Aptos Light"/>
    </font>
    <font>
      <sz val="11"/>
      <color rgb="FF000000"/>
      <name val="Aptos Light"/>
    </font>
    <font>
      <sz val="11"/>
      <color rgb="FFFFFFFF"/>
      <name val="Aptos Light"/>
    </font>
    <font>
      <u/>
      <sz val="11"/>
      <color theme="10"/>
      <name val="Aptos-Light"/>
      <family val="2"/>
    </font>
    <font>
      <sz val="10"/>
      <color theme="1"/>
      <name val="Aptos Light"/>
    </font>
    <font>
      <u/>
      <sz val="10"/>
      <color theme="10"/>
      <name val="Aptos Light"/>
    </font>
    <font>
      <sz val="10"/>
      <color theme="1"/>
      <name val="Aptos-Light"/>
      <family val="2"/>
    </font>
    <font>
      <sz val="10"/>
      <color theme="1"/>
      <name val="Aptos Light Italic"/>
    </font>
    <font>
      <sz val="10"/>
      <color theme="0"/>
      <name val="Aptos Light"/>
    </font>
    <font>
      <sz val="10"/>
      <color rgb="FF000000"/>
      <name val="Aptos Light"/>
    </font>
    <font>
      <sz val="10"/>
      <color theme="1"/>
      <name val="Aptos-Light"/>
    </font>
    <font>
      <sz val="11"/>
      <color theme="1"/>
      <name val="Aptos-Light"/>
    </font>
    <font>
      <sz val="12"/>
      <color theme="1"/>
      <name val="Aptos Light"/>
    </font>
    <font>
      <sz val="12"/>
      <color rgb="FF000000"/>
      <name val="Aptos Light"/>
    </font>
    <font>
      <sz val="8"/>
      <name val="Aptos-Light"/>
      <family val="2"/>
    </font>
    <font>
      <b/>
      <sz val="11"/>
      <color rgb="FFFA7D00"/>
      <name val="Aptos-Light"/>
      <family val="2"/>
    </font>
    <font>
      <u/>
      <sz val="11"/>
      <color theme="10"/>
      <name val="Aptos Light"/>
    </font>
    <font>
      <sz val="10"/>
      <color rgb="FFFFFFFF"/>
      <name val="Aptos Light"/>
    </font>
    <font>
      <sz val="10"/>
      <color rgb="FFFA7D00"/>
      <name val="Aptos Light"/>
    </font>
  </fonts>
  <fills count="2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3A15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8" tint="-0.499984740745262"/>
        <bgColor rgb="FF000000"/>
      </patternFill>
    </fill>
    <fill>
      <patternFill patternType="solid">
        <fgColor rgb="FF0B3040"/>
        <bgColor rgb="FF000000"/>
      </patternFill>
    </fill>
    <fill>
      <patternFill patternType="solid">
        <fgColor rgb="FFF2F2F2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9" fillId="17" borderId="7" applyNumberFormat="0" applyAlignment="0" applyProtection="0"/>
  </cellStyleXfs>
  <cellXfs count="1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9" fontId="4" fillId="0" borderId="1" xfId="1" applyFont="1" applyBorder="1" applyAlignment="1">
      <alignment horizontal="center" vertical="center" wrapText="1"/>
    </xf>
    <xf numFmtId="9" fontId="3" fillId="4" borderId="1" xfId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9" fontId="3" fillId="8" borderId="1" xfId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9" fontId="4" fillId="5" borderId="1" xfId="1" applyFont="1" applyFill="1" applyBorder="1" applyAlignment="1">
      <alignment horizontal="center" vertical="center"/>
    </xf>
    <xf numFmtId="9" fontId="3" fillId="8" borderId="1" xfId="1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9" fontId="4" fillId="9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9" fontId="3" fillId="4" borderId="1" xfId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9" fontId="3" fillId="8" borderId="1" xfId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/>
    </xf>
    <xf numFmtId="9" fontId="6" fillId="10" borderId="1" xfId="1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0" fontId="14" fillId="0" borderId="1" xfId="0" applyNumberFormat="1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9" fontId="5" fillId="0" borderId="0" xfId="0" applyNumberFormat="1" applyFont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1" fontId="16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9" fontId="4" fillId="0" borderId="1" xfId="1" applyFont="1" applyBorder="1" applyAlignment="1">
      <alignment horizontal="center"/>
    </xf>
    <xf numFmtId="9" fontId="4" fillId="0" borderId="6" xfId="1" applyFont="1" applyBorder="1" applyAlignment="1">
      <alignment horizontal="center" vertical="center" wrapText="1"/>
    </xf>
    <xf numFmtId="9" fontId="4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9" fontId="4" fillId="0" borderId="0" xfId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 wrapText="1"/>
    </xf>
    <xf numFmtId="9" fontId="4" fillId="5" borderId="1" xfId="1" applyFont="1" applyFill="1" applyBorder="1" applyAlignment="1">
      <alignment horizontal="center"/>
    </xf>
    <xf numFmtId="0" fontId="20" fillId="0" borderId="1" xfId="2" applyFont="1" applyBorder="1" applyAlignment="1">
      <alignment horizontal="center" vertical="center"/>
    </xf>
    <xf numFmtId="0" fontId="3" fillId="18" borderId="3" xfId="3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0" fillId="0" borderId="0" xfId="0" applyNumberFormat="1"/>
    <xf numFmtId="9" fontId="2" fillId="4" borderId="1" xfId="1" applyFont="1" applyFill="1" applyBorder="1" applyAlignment="1">
      <alignment horizontal="center"/>
    </xf>
    <xf numFmtId="9" fontId="2" fillId="8" borderId="1" xfId="1" applyFont="1" applyFill="1" applyBorder="1" applyAlignment="1">
      <alignment horizontal="center"/>
    </xf>
    <xf numFmtId="9" fontId="2" fillId="4" borderId="1" xfId="1" applyFont="1" applyFill="1" applyBorder="1" applyAlignment="1">
      <alignment horizontal="center" vertical="center"/>
    </xf>
    <xf numFmtId="9" fontId="2" fillId="8" borderId="1" xfId="1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1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13" fillId="0" borderId="2" xfId="0" applyFont="1" applyBorder="1" applyAlignment="1">
      <alignment horizontal="center" vertical="center" wrapText="1"/>
    </xf>
    <xf numFmtId="0" fontId="22" fillId="17" borderId="3" xfId="3" applyFont="1" applyBorder="1" applyAlignment="1">
      <alignment horizontal="center"/>
    </xf>
    <xf numFmtId="0" fontId="8" fillId="0" borderId="0" xfId="0" applyFont="1" applyAlignment="1">
      <alignment horizontal="center"/>
    </xf>
    <xf numFmtId="9" fontId="3" fillId="11" borderId="1" xfId="1" applyFont="1" applyFill="1" applyBorder="1" applyAlignment="1">
      <alignment horizontal="center" vertical="center" wrapText="1"/>
    </xf>
    <xf numFmtId="9" fontId="0" fillId="0" borderId="0" xfId="0" applyNumberFormat="1"/>
    <xf numFmtId="9" fontId="2" fillId="11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171" fontId="4" fillId="0" borderId="1" xfId="0" applyNumberFormat="1" applyFont="1" applyBorder="1" applyAlignment="1">
      <alignment horizontal="center"/>
    </xf>
    <xf numFmtId="0" fontId="3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</cellXfs>
  <cellStyles count="4">
    <cellStyle name="Calculation" xfId="3" builtinId="22"/>
    <cellStyle name="Hyperlink" xfId="2" builtinId="8"/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Light" panose="020B0004020202020204" pitchFamily="34" charset="0"/>
                <a:ea typeface="+mn-ea"/>
                <a:cs typeface="+mn-cs"/>
              </a:rPr>
              <a:t>Kpi Indicators Per Staff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Indicators Per Staff'!$C$3</c:f>
              <c:strCache>
                <c:ptCount val="1"/>
                <c:pt idx="0">
                  <c:v>Check Now 25.9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Staff'!$B$4:$B$14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Staff'!$C$4:$C$14</c:f>
              <c:numCache>
                <c:formatCode>0%</c:formatCode>
                <c:ptCount val="11"/>
                <c:pt idx="0">
                  <c:v>0.46085714285714285</c:v>
                </c:pt>
                <c:pt idx="1">
                  <c:v>0.34911660079051382</c:v>
                </c:pt>
                <c:pt idx="2">
                  <c:v>0.6825740714981221</c:v>
                </c:pt>
                <c:pt idx="3">
                  <c:v>0</c:v>
                </c:pt>
                <c:pt idx="4">
                  <c:v>0.54751013787510139</c:v>
                </c:pt>
                <c:pt idx="5">
                  <c:v>0.91147048960429244</c:v>
                </c:pt>
                <c:pt idx="6">
                  <c:v>0.57038085509995629</c:v>
                </c:pt>
                <c:pt idx="7">
                  <c:v>0</c:v>
                </c:pt>
                <c:pt idx="8">
                  <c:v>0.35228571428571431</c:v>
                </c:pt>
                <c:pt idx="9">
                  <c:v>0.32551353016713619</c:v>
                </c:pt>
                <c:pt idx="10">
                  <c:v>0.49127290322580641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F-5F4A-9A7A-A8800714FC9A}"/>
            </c:ext>
          </c:extLst>
        </c:ser>
        <c:ser>
          <c:idx val="1"/>
          <c:order val="1"/>
          <c:tx>
            <c:strRef>
              <c:f>'Kpi Indicators Per Staff'!$D$3</c:f>
              <c:strCache>
                <c:ptCount val="1"/>
                <c:pt idx="0">
                  <c:v>Check Now 25.10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Staff'!$B$4:$B$14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Staff'!$D$4:$D$14</c:f>
              <c:numCache>
                <c:formatCode>0%</c:formatCode>
                <c:ptCount val="11"/>
                <c:pt idx="0">
                  <c:v>1.0578922716627635</c:v>
                </c:pt>
                <c:pt idx="1">
                  <c:v>0.99610389610389605</c:v>
                </c:pt>
                <c:pt idx="2">
                  <c:v>0.63793560606060606</c:v>
                </c:pt>
                <c:pt idx="3">
                  <c:v>0</c:v>
                </c:pt>
                <c:pt idx="4">
                  <c:v>0.73974358974358978</c:v>
                </c:pt>
                <c:pt idx="5">
                  <c:v>0.58264159596422838</c:v>
                </c:pt>
                <c:pt idx="6">
                  <c:v>0.991543513957307</c:v>
                </c:pt>
                <c:pt idx="7">
                  <c:v>0</c:v>
                </c:pt>
                <c:pt idx="8">
                  <c:v>0.86299955496217184</c:v>
                </c:pt>
                <c:pt idx="9">
                  <c:v>0.55674812489098202</c:v>
                </c:pt>
                <c:pt idx="10">
                  <c:v>1.1688823529411765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F-5F4A-9A7A-A8800714FC9A}"/>
            </c:ext>
          </c:extLst>
        </c:ser>
        <c:ser>
          <c:idx val="2"/>
          <c:order val="2"/>
          <c:tx>
            <c:strRef>
              <c:f>'Kpi Indicators Per Staff'!$E$3</c:f>
              <c:strCache>
                <c:ptCount val="1"/>
                <c:pt idx="0">
                  <c:v>Check Now 25.11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Staff'!$B$4:$B$14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Staff'!$E$4:$E$14</c:f>
              <c:numCache>
                <c:formatCode>0%</c:formatCode>
                <c:ptCount val="11"/>
                <c:pt idx="0">
                  <c:v>0.98841379310344823</c:v>
                </c:pt>
                <c:pt idx="1">
                  <c:v>0.82329959514170037</c:v>
                </c:pt>
                <c:pt idx="2">
                  <c:v>0.76103296391020181</c:v>
                </c:pt>
                <c:pt idx="3">
                  <c:v>0</c:v>
                </c:pt>
                <c:pt idx="4">
                  <c:v>0.71913438682245812</c:v>
                </c:pt>
                <c:pt idx="5">
                  <c:v>1.0437029789084584</c:v>
                </c:pt>
                <c:pt idx="6">
                  <c:v>0.94244200244200238</c:v>
                </c:pt>
                <c:pt idx="7">
                  <c:v>0</c:v>
                </c:pt>
                <c:pt idx="8">
                  <c:v>0.47142857142857142</c:v>
                </c:pt>
                <c:pt idx="9">
                  <c:v>0.66460125633143763</c:v>
                </c:pt>
                <c:pt idx="10">
                  <c:v>0.82427066238750657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F-5F4A-9A7A-A8800714FC9A}"/>
            </c:ext>
          </c:extLst>
        </c:ser>
        <c:ser>
          <c:idx val="3"/>
          <c:order val="3"/>
          <c:tx>
            <c:strRef>
              <c:f>'Kpi Indicators Per Staff'!$F$3</c:f>
              <c:strCache>
                <c:ptCount val="1"/>
                <c:pt idx="0">
                  <c:v>Check Now 25.12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Staff'!$B$4:$B$14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Staff'!$F$4:$F$14</c:f>
              <c:numCache>
                <c:formatCode>0%</c:formatCode>
                <c:ptCount val="11"/>
                <c:pt idx="0">
                  <c:v>1.0757575757575757</c:v>
                </c:pt>
                <c:pt idx="1">
                  <c:v>0.97324041811846684</c:v>
                </c:pt>
                <c:pt idx="2">
                  <c:v>0.9194033356824054</c:v>
                </c:pt>
                <c:pt idx="3">
                  <c:v>0</c:v>
                </c:pt>
                <c:pt idx="4">
                  <c:v>0.79759999999999998</c:v>
                </c:pt>
                <c:pt idx="5">
                  <c:v>1.0634054325955735</c:v>
                </c:pt>
                <c:pt idx="6">
                  <c:v>1.0023809523809524</c:v>
                </c:pt>
                <c:pt idx="7">
                  <c:v>0</c:v>
                </c:pt>
                <c:pt idx="8">
                  <c:v>0.54825396825396822</c:v>
                </c:pt>
                <c:pt idx="9">
                  <c:v>0.53895104592009113</c:v>
                </c:pt>
                <c:pt idx="10">
                  <c:v>0.68749650349650349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7F-5F4A-9A7A-A8800714FC9A}"/>
            </c:ext>
          </c:extLst>
        </c:ser>
        <c:ser>
          <c:idx val="4"/>
          <c:order val="4"/>
          <c:tx>
            <c:strRef>
              <c:f>'Kpi Indicators Per Staff'!$G$3</c:f>
              <c:strCache>
                <c:ptCount val="1"/>
                <c:pt idx="0">
                  <c:v>Check Now 25.13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Staff'!$B$4:$B$14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Staff'!$G$4:$G$14</c:f>
              <c:numCache>
                <c:formatCode>0%</c:formatCode>
                <c:ptCount val="11"/>
                <c:pt idx="0">
                  <c:v>1.0725</c:v>
                </c:pt>
                <c:pt idx="1">
                  <c:v>0.94160997732426299</c:v>
                </c:pt>
                <c:pt idx="2">
                  <c:v>0.8900219298245613</c:v>
                </c:pt>
                <c:pt idx="3">
                  <c:v>0</c:v>
                </c:pt>
                <c:pt idx="4">
                  <c:v>0.74878228179143502</c:v>
                </c:pt>
                <c:pt idx="5">
                  <c:v>1.0433862433862435</c:v>
                </c:pt>
                <c:pt idx="6">
                  <c:v>1.1216666666666666</c:v>
                </c:pt>
                <c:pt idx="7">
                  <c:v>0</c:v>
                </c:pt>
                <c:pt idx="8">
                  <c:v>0.75523809523809526</c:v>
                </c:pt>
                <c:pt idx="9">
                  <c:v>0.64520466672782451</c:v>
                </c:pt>
                <c:pt idx="10">
                  <c:v>0.67466883116883114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7F-5F4A-9A7A-A8800714FC9A}"/>
            </c:ext>
          </c:extLst>
        </c:ser>
        <c:ser>
          <c:idx val="5"/>
          <c:order val="5"/>
          <c:tx>
            <c:strRef>
              <c:f>'Kpi Indicators Per Staff'!$H$3</c:f>
              <c:strCache>
                <c:ptCount val="1"/>
                <c:pt idx="0">
                  <c:v>Check Now 25.14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Staff'!$B$4:$B$14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Staff'!$H$4:$H$14</c:f>
              <c:numCache>
                <c:formatCode>0%</c:formatCode>
                <c:ptCount val="11"/>
                <c:pt idx="0">
                  <c:v>0.65370639534883712</c:v>
                </c:pt>
                <c:pt idx="1">
                  <c:v>0.84953819283916365</c:v>
                </c:pt>
                <c:pt idx="2">
                  <c:v>0.9005988943488944</c:v>
                </c:pt>
                <c:pt idx="3">
                  <c:v>0.88979047619047624</c:v>
                </c:pt>
                <c:pt idx="4">
                  <c:v>0.82031746031746033</c:v>
                </c:pt>
                <c:pt idx="5">
                  <c:v>1.0234252297410191</c:v>
                </c:pt>
                <c:pt idx="6">
                  <c:v>0.96282608695652172</c:v>
                </c:pt>
                <c:pt idx="7">
                  <c:v>0</c:v>
                </c:pt>
                <c:pt idx="8">
                  <c:v>0.84735139860139863</c:v>
                </c:pt>
                <c:pt idx="9">
                  <c:v>0.52532309303793834</c:v>
                </c:pt>
                <c:pt idx="10">
                  <c:v>0.63557055987109079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7F-5F4A-9A7A-A8800714FC9A}"/>
            </c:ext>
          </c:extLst>
        </c:ser>
        <c:ser>
          <c:idx val="6"/>
          <c:order val="6"/>
          <c:tx>
            <c:strRef>
              <c:f>'Kpi Indicators Per Staff'!$I$3</c:f>
              <c:strCache>
                <c:ptCount val="1"/>
                <c:pt idx="0">
                  <c:v>Check Now 26.15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Staff'!$B$4:$B$14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Staff'!$I$4:$I$14</c:f>
              <c:numCache>
                <c:formatCode>0%</c:formatCode>
                <c:ptCount val="11"/>
                <c:pt idx="0">
                  <c:v>0.94960317460317456</c:v>
                </c:pt>
                <c:pt idx="1">
                  <c:v>0.9314954051796156</c:v>
                </c:pt>
                <c:pt idx="2">
                  <c:v>0.89747474747474754</c:v>
                </c:pt>
                <c:pt idx="3">
                  <c:v>0.97796992481203004</c:v>
                </c:pt>
                <c:pt idx="4">
                  <c:v>0.96374175138220086</c:v>
                </c:pt>
                <c:pt idx="5">
                  <c:v>1.0468944099378881</c:v>
                </c:pt>
                <c:pt idx="6">
                  <c:v>0.95533769063180829</c:v>
                </c:pt>
                <c:pt idx="7">
                  <c:v>0</c:v>
                </c:pt>
                <c:pt idx="8">
                  <c:v>0.87894409937888196</c:v>
                </c:pt>
                <c:pt idx="9">
                  <c:v>0.67323167469234879</c:v>
                </c:pt>
                <c:pt idx="10">
                  <c:v>0.89049883740242475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7F-5F4A-9A7A-A8800714FC9A}"/>
            </c:ext>
          </c:extLst>
        </c:ser>
        <c:ser>
          <c:idx val="7"/>
          <c:order val="7"/>
          <c:tx>
            <c:strRef>
              <c:f>'Kpi Indicators Per Staff'!$J$3</c:f>
              <c:strCache>
                <c:ptCount val="1"/>
                <c:pt idx="0">
                  <c:v>Check Now 26.16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Staff'!$B$4:$B$14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Staff'!$J$4:$J$14</c:f>
              <c:numCache>
                <c:formatCode>0%</c:formatCode>
                <c:ptCount val="11"/>
                <c:pt idx="0">
                  <c:v>1.0228571428571429</c:v>
                </c:pt>
                <c:pt idx="1">
                  <c:v>0.70691268191268186</c:v>
                </c:pt>
                <c:pt idx="2">
                  <c:v>0.62873134328358204</c:v>
                </c:pt>
                <c:pt idx="3">
                  <c:v>0.89605320791297161</c:v>
                </c:pt>
                <c:pt idx="4">
                  <c:v>0.94367063492063485</c:v>
                </c:pt>
                <c:pt idx="5">
                  <c:v>0.98509006598894233</c:v>
                </c:pt>
                <c:pt idx="6">
                  <c:v>0.97772397094430996</c:v>
                </c:pt>
                <c:pt idx="7">
                  <c:v>0.69060012066674925</c:v>
                </c:pt>
                <c:pt idx="8">
                  <c:v>0.70952380952380945</c:v>
                </c:pt>
                <c:pt idx="9">
                  <c:v>0.76734657702363795</c:v>
                </c:pt>
                <c:pt idx="10">
                  <c:v>0.89016726285289527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9-8B43-B9AE-976B2CBA2D46}"/>
            </c:ext>
          </c:extLst>
        </c:ser>
        <c:ser>
          <c:idx val="8"/>
          <c:order val="8"/>
          <c:tx>
            <c:strRef>
              <c:f>'Kpi Indicators Per Staff'!$K$3</c:f>
              <c:strCache>
                <c:ptCount val="1"/>
                <c:pt idx="0">
                  <c:v>Check Now 26.17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Staff'!$B$4:$B$14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Staff'!$K$4:$K$14</c:f>
              <c:numCache>
                <c:formatCode>0%</c:formatCode>
                <c:ptCount val="11"/>
                <c:pt idx="0">
                  <c:v>0.87123287671232874</c:v>
                </c:pt>
                <c:pt idx="1">
                  <c:v>0.81699855699855695</c:v>
                </c:pt>
                <c:pt idx="2">
                  <c:v>0.89888888888888885</c:v>
                </c:pt>
                <c:pt idx="3">
                  <c:v>1.0009691482226692</c:v>
                </c:pt>
                <c:pt idx="4">
                  <c:v>0.93387096774193545</c:v>
                </c:pt>
                <c:pt idx="5">
                  <c:v>1.0664835164835165</c:v>
                </c:pt>
                <c:pt idx="6">
                  <c:v>0.97201680672268909</c:v>
                </c:pt>
                <c:pt idx="7">
                  <c:v>0.81810395140477554</c:v>
                </c:pt>
                <c:pt idx="8">
                  <c:v>0.71124510410224695</c:v>
                </c:pt>
                <c:pt idx="9">
                  <c:v>1.0099232630623112</c:v>
                </c:pt>
                <c:pt idx="10">
                  <c:v>0.98478446575185929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C-094C-9A70-B1F9DC87D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296639"/>
        <c:axId val="390771839"/>
      </c:barChart>
      <c:catAx>
        <c:axId val="38729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90771839"/>
        <c:crosses val="autoZero"/>
        <c:auto val="1"/>
        <c:lblAlgn val="ctr"/>
        <c:lblOffset val="100"/>
        <c:noMultiLvlLbl val="0"/>
      </c:catAx>
      <c:valAx>
        <c:axId val="3907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87296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Light" panose="020B0004020202020204" pitchFamily="34" charset="0"/>
                <a:ea typeface="+mn-ea"/>
                <a:cs typeface="+mn-cs"/>
              </a:rPr>
              <a:t>Performance Rate Per Staff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Indicators Per Staff'!$C$17</c:f>
              <c:strCache>
                <c:ptCount val="1"/>
                <c:pt idx="0">
                  <c:v>Check Now 25.9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Staff'!$B$18:$B$28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Staff'!$C$18:$C$28</c:f>
              <c:numCache>
                <c:formatCode>0%</c:formatCode>
                <c:ptCount val="11"/>
                <c:pt idx="0">
                  <c:v>0.79</c:v>
                </c:pt>
                <c:pt idx="1">
                  <c:v>0.74308300395256921</c:v>
                </c:pt>
                <c:pt idx="2">
                  <c:v>0.97468354430379744</c:v>
                </c:pt>
                <c:pt idx="3">
                  <c:v>0</c:v>
                </c:pt>
                <c:pt idx="4">
                  <c:v>0.71532846715328469</c:v>
                </c:pt>
                <c:pt idx="5">
                  <c:v>0.94366197183098588</c:v>
                </c:pt>
                <c:pt idx="6">
                  <c:v>0.7752808988764045</c:v>
                </c:pt>
                <c:pt idx="7">
                  <c:v>0</c:v>
                </c:pt>
                <c:pt idx="8">
                  <c:v>0.84</c:v>
                </c:pt>
                <c:pt idx="9">
                  <c:v>0.82921050797853812</c:v>
                </c:pt>
                <c:pt idx="10">
                  <c:v>0.75806451612903225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C-0C4E-A6C4-01B25B98A3B9}"/>
            </c:ext>
          </c:extLst>
        </c:ser>
        <c:ser>
          <c:idx val="1"/>
          <c:order val="1"/>
          <c:tx>
            <c:strRef>
              <c:f>'Kpi Indicators Per Staff'!$D$17</c:f>
              <c:strCache>
                <c:ptCount val="1"/>
                <c:pt idx="0">
                  <c:v>Check Now 25.10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Staff'!$B$18:$B$28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Staff'!$D$18:$D$28</c:f>
              <c:numCache>
                <c:formatCode>0%</c:formatCode>
                <c:ptCount val="11"/>
                <c:pt idx="0">
                  <c:v>0.91803278688524592</c:v>
                </c:pt>
                <c:pt idx="1">
                  <c:v>0.90909090909090906</c:v>
                </c:pt>
                <c:pt idx="2">
                  <c:v>0.69696969696969702</c:v>
                </c:pt>
                <c:pt idx="3">
                  <c:v>0</c:v>
                </c:pt>
                <c:pt idx="4">
                  <c:v>0.61538461538461542</c:v>
                </c:pt>
                <c:pt idx="5">
                  <c:v>0.9438202247191011</c:v>
                </c:pt>
                <c:pt idx="6">
                  <c:v>0.85057471264367812</c:v>
                </c:pt>
                <c:pt idx="7">
                  <c:v>0</c:v>
                </c:pt>
                <c:pt idx="8">
                  <c:v>0.96261682242990654</c:v>
                </c:pt>
                <c:pt idx="9">
                  <c:v>0.94191522762951341</c:v>
                </c:pt>
                <c:pt idx="10">
                  <c:v>0.86274509803921573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2C-0C4E-A6C4-01B25B98A3B9}"/>
            </c:ext>
          </c:extLst>
        </c:ser>
        <c:ser>
          <c:idx val="2"/>
          <c:order val="2"/>
          <c:tx>
            <c:strRef>
              <c:f>'Kpi Indicators Per Staff'!$E$17</c:f>
              <c:strCache>
                <c:ptCount val="1"/>
                <c:pt idx="0">
                  <c:v>Check Now 25.11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Staff'!$B$18:$B$28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Staff'!$E$18:$E$28</c:f>
              <c:numCache>
                <c:formatCode>0%</c:formatCode>
                <c:ptCount val="11"/>
                <c:pt idx="0">
                  <c:v>0.86206896551724133</c:v>
                </c:pt>
                <c:pt idx="1">
                  <c:v>0.96842105263157896</c:v>
                </c:pt>
                <c:pt idx="2">
                  <c:v>0.55434782608695654</c:v>
                </c:pt>
                <c:pt idx="3">
                  <c:v>0</c:v>
                </c:pt>
                <c:pt idx="4">
                  <c:v>0.84462151394422313</c:v>
                </c:pt>
                <c:pt idx="5">
                  <c:v>0.93835616438356162</c:v>
                </c:pt>
                <c:pt idx="6">
                  <c:v>0.81538461538461537</c:v>
                </c:pt>
                <c:pt idx="7">
                  <c:v>0</c:v>
                </c:pt>
                <c:pt idx="8">
                  <c:v>0.8</c:v>
                </c:pt>
                <c:pt idx="9">
                  <c:v>0.6582672706681767</c:v>
                </c:pt>
                <c:pt idx="10">
                  <c:v>0.89994706193753304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2C-0C4E-A6C4-01B25B98A3B9}"/>
            </c:ext>
          </c:extLst>
        </c:ser>
        <c:ser>
          <c:idx val="3"/>
          <c:order val="3"/>
          <c:tx>
            <c:strRef>
              <c:f>'Kpi Indicators Per Staff'!$F$17</c:f>
              <c:strCache>
                <c:ptCount val="1"/>
                <c:pt idx="0">
                  <c:v>Check Now 25.11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Staff'!$B$18:$B$28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Staff'!$F$18:$F$28</c:f>
              <c:numCache>
                <c:formatCode>0%</c:formatCode>
                <c:ptCount val="11"/>
                <c:pt idx="0">
                  <c:v>0.87878787878787878</c:v>
                </c:pt>
                <c:pt idx="1">
                  <c:v>0.78048780487804881</c:v>
                </c:pt>
                <c:pt idx="2">
                  <c:v>0.54651162790697672</c:v>
                </c:pt>
                <c:pt idx="3">
                  <c:v>0</c:v>
                </c:pt>
                <c:pt idx="4">
                  <c:v>0.84799999999999998</c:v>
                </c:pt>
                <c:pt idx="5">
                  <c:v>1.1830985915492958</c:v>
                </c:pt>
                <c:pt idx="6">
                  <c:v>0.84523809523809523</c:v>
                </c:pt>
                <c:pt idx="7">
                  <c:v>0</c:v>
                </c:pt>
                <c:pt idx="8">
                  <c:v>1</c:v>
                </c:pt>
                <c:pt idx="9">
                  <c:v>0.72977903912426523</c:v>
                </c:pt>
                <c:pt idx="10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2C-0C4E-A6C4-01B25B98A3B9}"/>
            </c:ext>
          </c:extLst>
        </c:ser>
        <c:ser>
          <c:idx val="4"/>
          <c:order val="4"/>
          <c:tx>
            <c:strRef>
              <c:f>'Kpi Indicators Per Staff'!$G$17</c:f>
              <c:strCache>
                <c:ptCount val="1"/>
                <c:pt idx="0">
                  <c:v>Check Now 25.13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Staff'!$B$18:$B$28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Staff'!$G$18:$G$28</c:f>
              <c:numCache>
                <c:formatCode>0%</c:formatCode>
                <c:ptCount val="11"/>
                <c:pt idx="0">
                  <c:v>0.67500000000000004</c:v>
                </c:pt>
                <c:pt idx="1">
                  <c:v>0.63265306122448983</c:v>
                </c:pt>
                <c:pt idx="2">
                  <c:v>0.54385964912280704</c:v>
                </c:pt>
                <c:pt idx="3">
                  <c:v>0</c:v>
                </c:pt>
                <c:pt idx="4">
                  <c:v>0.61052631578947369</c:v>
                </c:pt>
                <c:pt idx="5">
                  <c:v>1.0740740740740742</c:v>
                </c:pt>
                <c:pt idx="6">
                  <c:v>0.77500000000000002</c:v>
                </c:pt>
                <c:pt idx="7">
                  <c:v>0</c:v>
                </c:pt>
                <c:pt idx="8">
                  <c:v>1</c:v>
                </c:pt>
                <c:pt idx="9">
                  <c:v>0.75453523840102743</c:v>
                </c:pt>
                <c:pt idx="10">
                  <c:v>0.70857142857142852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2C-0C4E-A6C4-01B25B98A3B9}"/>
            </c:ext>
          </c:extLst>
        </c:ser>
        <c:ser>
          <c:idx val="5"/>
          <c:order val="5"/>
          <c:tx>
            <c:strRef>
              <c:f>'Kpi Indicators Per Staff'!$H$17</c:f>
              <c:strCache>
                <c:ptCount val="1"/>
                <c:pt idx="0">
                  <c:v>Check Now 25.14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Staff'!$B$18:$B$28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Staff'!$H$18:$H$28</c:f>
              <c:numCache>
                <c:formatCode>0%</c:formatCode>
                <c:ptCount val="11"/>
                <c:pt idx="0">
                  <c:v>0.29457364341085274</c:v>
                </c:pt>
                <c:pt idx="1">
                  <c:v>0.78155339805825241</c:v>
                </c:pt>
                <c:pt idx="2">
                  <c:v>0.60810810810810811</c:v>
                </c:pt>
                <c:pt idx="3">
                  <c:v>0.76800000000000002</c:v>
                </c:pt>
                <c:pt idx="4">
                  <c:v>0.82777777777777772</c:v>
                </c:pt>
                <c:pt idx="5">
                  <c:v>0.86315789473684212</c:v>
                </c:pt>
                <c:pt idx="6">
                  <c:v>0.73913043478260865</c:v>
                </c:pt>
                <c:pt idx="7">
                  <c:v>0</c:v>
                </c:pt>
                <c:pt idx="8">
                  <c:v>0.99300699300699302</c:v>
                </c:pt>
                <c:pt idx="9">
                  <c:v>0.81357975090397749</c:v>
                </c:pt>
                <c:pt idx="10">
                  <c:v>0.88329261417026872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2C-0C4E-A6C4-01B25B98A3B9}"/>
            </c:ext>
          </c:extLst>
        </c:ser>
        <c:ser>
          <c:idx val="6"/>
          <c:order val="6"/>
          <c:tx>
            <c:strRef>
              <c:f>'Kpi Indicators Per Staff'!$I$17</c:f>
              <c:strCache>
                <c:ptCount val="1"/>
                <c:pt idx="0">
                  <c:v>Check Now 26.15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Staff'!$B$18:$B$28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Staff'!$I$18:$I$28</c:f>
              <c:numCache>
                <c:formatCode>0%</c:formatCode>
                <c:ptCount val="11"/>
                <c:pt idx="0">
                  <c:v>0.76190476190476186</c:v>
                </c:pt>
                <c:pt idx="1">
                  <c:v>0.73684210526315785</c:v>
                </c:pt>
                <c:pt idx="2">
                  <c:v>0.5</c:v>
                </c:pt>
                <c:pt idx="3">
                  <c:v>0.86842105263157898</c:v>
                </c:pt>
                <c:pt idx="4">
                  <c:v>0.61235955056179781</c:v>
                </c:pt>
                <c:pt idx="5">
                  <c:v>0.91304347826086951</c:v>
                </c:pt>
                <c:pt idx="6">
                  <c:v>0.6470588235294118</c:v>
                </c:pt>
                <c:pt idx="7">
                  <c:v>0</c:v>
                </c:pt>
                <c:pt idx="8">
                  <c:v>0.63043478260869568</c:v>
                </c:pt>
                <c:pt idx="9">
                  <c:v>0.88282504012841101</c:v>
                </c:pt>
                <c:pt idx="10">
                  <c:v>0.52017937219730936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2C-0C4E-A6C4-01B25B98A3B9}"/>
            </c:ext>
          </c:extLst>
        </c:ser>
        <c:ser>
          <c:idx val="7"/>
          <c:order val="7"/>
          <c:tx>
            <c:strRef>
              <c:f>'Kpi Indicators Per Staff'!$J$17</c:f>
              <c:strCache>
                <c:ptCount val="1"/>
                <c:pt idx="0">
                  <c:v>Check Now 26.16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Staff'!$B$18:$B$28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Staff'!$J$18:$J$28</c:f>
              <c:numCache>
                <c:formatCode>0%</c:formatCode>
                <c:ptCount val="11"/>
                <c:pt idx="0">
                  <c:v>1</c:v>
                </c:pt>
                <c:pt idx="1">
                  <c:v>0.48648648648648651</c:v>
                </c:pt>
                <c:pt idx="2">
                  <c:v>0.26865671641791045</c:v>
                </c:pt>
                <c:pt idx="3">
                  <c:v>0.84393063583815031</c:v>
                </c:pt>
                <c:pt idx="4">
                  <c:v>0.76388888888888884</c:v>
                </c:pt>
                <c:pt idx="5">
                  <c:v>0.7191011235955056</c:v>
                </c:pt>
                <c:pt idx="6">
                  <c:v>0.74576271186440679</c:v>
                </c:pt>
                <c:pt idx="7">
                  <c:v>0.73115186383794795</c:v>
                </c:pt>
                <c:pt idx="8">
                  <c:v>1</c:v>
                </c:pt>
                <c:pt idx="9">
                  <c:v>0.83239955178485669</c:v>
                </c:pt>
                <c:pt idx="10">
                  <c:v>0.69555059997876167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4-3243-8E55-8400F0F25669}"/>
            </c:ext>
          </c:extLst>
        </c:ser>
        <c:ser>
          <c:idx val="8"/>
          <c:order val="8"/>
          <c:tx>
            <c:strRef>
              <c:f>'Kpi Indicators Per Staff'!$K$17</c:f>
              <c:strCache>
                <c:ptCount val="1"/>
                <c:pt idx="0">
                  <c:v>Check Now 26.17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Staff'!$B$18:$B$28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Staff'!$K$18:$K$28</c:f>
              <c:numCache>
                <c:formatCode>0%</c:formatCode>
                <c:ptCount val="11"/>
                <c:pt idx="0">
                  <c:v>0.35616438356164382</c:v>
                </c:pt>
                <c:pt idx="1">
                  <c:v>0.57070707070707072</c:v>
                </c:pt>
                <c:pt idx="2">
                  <c:v>0.8</c:v>
                </c:pt>
                <c:pt idx="3">
                  <c:v>0.91079812206572774</c:v>
                </c:pt>
                <c:pt idx="4">
                  <c:v>0.61935483870967745</c:v>
                </c:pt>
                <c:pt idx="5">
                  <c:v>0.90384615384615385</c:v>
                </c:pt>
                <c:pt idx="6">
                  <c:v>0.75294117647058822</c:v>
                </c:pt>
                <c:pt idx="7">
                  <c:v>0.52857614800132147</c:v>
                </c:pt>
                <c:pt idx="8">
                  <c:v>0.98989898989898994</c:v>
                </c:pt>
                <c:pt idx="9">
                  <c:v>0.76447345816869949</c:v>
                </c:pt>
                <c:pt idx="10">
                  <c:v>0.70400169383866185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D-B14D-805E-7C8281C6E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296639"/>
        <c:axId val="390771839"/>
      </c:barChart>
      <c:catAx>
        <c:axId val="38729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90771839"/>
        <c:crosses val="autoZero"/>
        <c:auto val="1"/>
        <c:lblAlgn val="ctr"/>
        <c:lblOffset val="100"/>
        <c:noMultiLvlLbl val="0"/>
      </c:catAx>
      <c:valAx>
        <c:axId val="3907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87296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Light" panose="020B0004020202020204" pitchFamily="34" charset="0"/>
                <a:ea typeface="+mn-ea"/>
                <a:cs typeface="+mn-cs"/>
              </a:rPr>
              <a:t>Utilization Per Staff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Indicators Per Staff'!$N$17</c:f>
              <c:strCache>
                <c:ptCount val="1"/>
                <c:pt idx="0">
                  <c:v>Check Now 25.9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Staff'!$M$18:$M$28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Staff'!$N$18:$N$28</c:f>
              <c:numCache>
                <c:formatCode>0%</c:formatCode>
                <c:ptCount val="11"/>
                <c:pt idx="0">
                  <c:v>1.0285714285714285</c:v>
                </c:pt>
                <c:pt idx="1">
                  <c:v>0.60499999999999998</c:v>
                </c:pt>
                <c:pt idx="2">
                  <c:v>1.1071428571428572</c:v>
                </c:pt>
                <c:pt idx="3">
                  <c:v>0</c:v>
                </c:pt>
                <c:pt idx="4">
                  <c:v>0.77777777777777779</c:v>
                </c:pt>
                <c:pt idx="5">
                  <c:v>1.1607142857142858</c:v>
                </c:pt>
                <c:pt idx="6">
                  <c:v>0.97142857142857142</c:v>
                </c:pt>
                <c:pt idx="7">
                  <c:v>0</c:v>
                </c:pt>
                <c:pt idx="8">
                  <c:v>0.44285714285714284</c:v>
                </c:pt>
                <c:pt idx="9">
                  <c:v>1.0967142857142858</c:v>
                </c:pt>
                <c:pt idx="10">
                  <c:v>0.77159999999999995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B-0346-9197-7A3C0BCFBA31}"/>
            </c:ext>
          </c:extLst>
        </c:ser>
        <c:ser>
          <c:idx val="1"/>
          <c:order val="1"/>
          <c:tx>
            <c:strRef>
              <c:f>'Kpi Indicators Per Staff'!$O$17</c:f>
              <c:strCache>
                <c:ptCount val="1"/>
                <c:pt idx="0">
                  <c:v>Check Now 25.10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Staff'!$M$18:$M$28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Staff'!$O$18:$O$28</c:f>
              <c:numCache>
                <c:formatCode>0%</c:formatCode>
                <c:ptCount val="11"/>
                <c:pt idx="0">
                  <c:v>1.7428571428571429</c:v>
                </c:pt>
                <c:pt idx="1">
                  <c:v>1.1428571428571428</c:v>
                </c:pt>
                <c:pt idx="2">
                  <c:v>1.71875</c:v>
                </c:pt>
                <c:pt idx="3">
                  <c:v>0</c:v>
                </c:pt>
                <c:pt idx="4">
                  <c:v>1.5</c:v>
                </c:pt>
                <c:pt idx="5">
                  <c:v>0.93877551020408168</c:v>
                </c:pt>
                <c:pt idx="6">
                  <c:v>1.2142857142857142</c:v>
                </c:pt>
                <c:pt idx="7">
                  <c:v>0</c:v>
                </c:pt>
                <c:pt idx="8">
                  <c:v>0.87142857142857144</c:v>
                </c:pt>
                <c:pt idx="9">
                  <c:v>1.2336507936507937</c:v>
                </c:pt>
                <c:pt idx="10">
                  <c:v>5.7633333333333328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B-0346-9197-7A3C0BCFBA31}"/>
            </c:ext>
          </c:extLst>
        </c:ser>
        <c:ser>
          <c:idx val="2"/>
          <c:order val="2"/>
          <c:tx>
            <c:strRef>
              <c:f>'Kpi Indicators Per Staff'!$P$17</c:f>
              <c:strCache>
                <c:ptCount val="1"/>
                <c:pt idx="0">
                  <c:v>Check Now 25.11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Staff'!$M$18:$M$28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Staff'!$P$18:$P$28</c:f>
              <c:numCache>
                <c:formatCode>0%</c:formatCode>
                <c:ptCount val="11"/>
                <c:pt idx="0">
                  <c:v>1.1599999999999999</c:v>
                </c:pt>
                <c:pt idx="1">
                  <c:v>1.45</c:v>
                </c:pt>
                <c:pt idx="2">
                  <c:v>1.9722222222222223</c:v>
                </c:pt>
                <c:pt idx="3">
                  <c:v>0</c:v>
                </c:pt>
                <c:pt idx="4">
                  <c:v>1.1785714285714286</c:v>
                </c:pt>
                <c:pt idx="5">
                  <c:v>1.7936507936507937</c:v>
                </c:pt>
                <c:pt idx="6">
                  <c:v>1.5714285714285714</c:v>
                </c:pt>
                <c:pt idx="7">
                  <c:v>0</c:v>
                </c:pt>
                <c:pt idx="8">
                  <c:v>0.31428571428571428</c:v>
                </c:pt>
                <c:pt idx="9">
                  <c:v>1.0217857142857143</c:v>
                </c:pt>
                <c:pt idx="10">
                  <c:v>1.1928125000000001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B-0346-9197-7A3C0BCFBA31}"/>
            </c:ext>
          </c:extLst>
        </c:ser>
        <c:ser>
          <c:idx val="3"/>
          <c:order val="3"/>
          <c:tx>
            <c:strRef>
              <c:f>'Kpi Indicators Per Staff'!$Q$17</c:f>
              <c:strCache>
                <c:ptCount val="1"/>
                <c:pt idx="0">
                  <c:v>Check Now 25.12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Staff'!$M$18:$M$28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Staff'!$Q$18:$Q$28</c:f>
              <c:numCache>
                <c:formatCode>0%</c:formatCode>
                <c:ptCount val="11"/>
                <c:pt idx="0">
                  <c:v>2</c:v>
                </c:pt>
                <c:pt idx="1">
                  <c:v>1.1714285714285715</c:v>
                </c:pt>
                <c:pt idx="2">
                  <c:v>2.0555555555555554</c:v>
                </c:pt>
                <c:pt idx="3">
                  <c:v>0</c:v>
                </c:pt>
                <c:pt idx="4">
                  <c:v>1.73</c:v>
                </c:pt>
                <c:pt idx="5">
                  <c:v>1.2678571428571428</c:v>
                </c:pt>
                <c:pt idx="6">
                  <c:v>1.3333333333333333</c:v>
                </c:pt>
                <c:pt idx="7">
                  <c:v>0</c:v>
                </c:pt>
                <c:pt idx="8">
                  <c:v>0.37142857142857144</c:v>
                </c:pt>
                <c:pt idx="9">
                  <c:v>1.0132857142857141</c:v>
                </c:pt>
                <c:pt idx="10">
                  <c:v>0.92727272727272725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2B-0346-9197-7A3C0BCFBA31}"/>
            </c:ext>
          </c:extLst>
        </c:ser>
        <c:ser>
          <c:idx val="4"/>
          <c:order val="4"/>
          <c:tx>
            <c:strRef>
              <c:f>'Kpi Indicators Per Staff'!$R$17</c:f>
              <c:strCache>
                <c:ptCount val="1"/>
                <c:pt idx="0">
                  <c:v>Check Now 25.13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Staff'!$M$18:$M$28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Staff'!$R$18:$R$28</c:f>
              <c:numCache>
                <c:formatCode>0%</c:formatCode>
                <c:ptCount val="11"/>
                <c:pt idx="0">
                  <c:v>2.375</c:v>
                </c:pt>
                <c:pt idx="1">
                  <c:v>1.1507936507936507</c:v>
                </c:pt>
                <c:pt idx="2">
                  <c:v>1.6875</c:v>
                </c:pt>
                <c:pt idx="3">
                  <c:v>0</c:v>
                </c:pt>
                <c:pt idx="4">
                  <c:v>1.0928571428571427</c:v>
                </c:pt>
                <c:pt idx="5">
                  <c:v>1.2857142857142858</c:v>
                </c:pt>
                <c:pt idx="6">
                  <c:v>2.6666666666666665</c:v>
                </c:pt>
                <c:pt idx="7">
                  <c:v>0</c:v>
                </c:pt>
                <c:pt idx="8">
                  <c:v>0.88571428571428568</c:v>
                </c:pt>
                <c:pt idx="9">
                  <c:v>0.85964285714285715</c:v>
                </c:pt>
                <c:pt idx="10">
                  <c:v>0.95454545454545459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2B-0346-9197-7A3C0BCFBA31}"/>
            </c:ext>
          </c:extLst>
        </c:ser>
        <c:ser>
          <c:idx val="5"/>
          <c:order val="5"/>
          <c:tx>
            <c:strRef>
              <c:f>'Kpi Indicators Per Staff'!$S$17</c:f>
              <c:strCache>
                <c:ptCount val="1"/>
                <c:pt idx="0">
                  <c:v>Check Now 25.14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Staff'!$M$18:$M$28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Staff'!$S$18:$S$28</c:f>
              <c:numCache>
                <c:formatCode>0%</c:formatCode>
                <c:ptCount val="11"/>
                <c:pt idx="0">
                  <c:v>1.28125</c:v>
                </c:pt>
                <c:pt idx="1">
                  <c:v>1.2285714285714286</c:v>
                </c:pt>
                <c:pt idx="2">
                  <c:v>2.0625</c:v>
                </c:pt>
                <c:pt idx="3">
                  <c:v>0.82857142857142863</c:v>
                </c:pt>
                <c:pt idx="4">
                  <c:v>1.0476190476190477</c:v>
                </c:pt>
                <c:pt idx="5">
                  <c:v>1.5079365079365079</c:v>
                </c:pt>
                <c:pt idx="6">
                  <c:v>1.1499999999999999</c:v>
                </c:pt>
                <c:pt idx="7">
                  <c:v>0</c:v>
                </c:pt>
                <c:pt idx="8">
                  <c:v>0.8</c:v>
                </c:pt>
                <c:pt idx="9">
                  <c:v>1.0010714285714284</c:v>
                </c:pt>
                <c:pt idx="10">
                  <c:v>1.21875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2B-0346-9197-7A3C0BCFBA31}"/>
            </c:ext>
          </c:extLst>
        </c:ser>
        <c:ser>
          <c:idx val="6"/>
          <c:order val="6"/>
          <c:tx>
            <c:strRef>
              <c:f>'Kpi Indicators Per Staff'!$T$17</c:f>
              <c:strCache>
                <c:ptCount val="1"/>
                <c:pt idx="0">
                  <c:v>Check Now 26.15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Staff'!$M$18:$M$28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Staff'!$T$18:$T$28</c:f>
              <c:numCache>
                <c:formatCode>0%</c:formatCode>
                <c:ptCount val="11"/>
                <c:pt idx="0">
                  <c:v>0.97222222222222221</c:v>
                </c:pt>
                <c:pt idx="1">
                  <c:v>0.84126984126984128</c:v>
                </c:pt>
                <c:pt idx="2">
                  <c:v>1.6111111111111112</c:v>
                </c:pt>
                <c:pt idx="3">
                  <c:v>1.0428571428571429</c:v>
                </c:pt>
                <c:pt idx="4">
                  <c:v>1.4126984126984128</c:v>
                </c:pt>
                <c:pt idx="5">
                  <c:v>1.6428571428571428</c:v>
                </c:pt>
                <c:pt idx="6">
                  <c:v>1.2592592592592593</c:v>
                </c:pt>
                <c:pt idx="7">
                  <c:v>0</c:v>
                </c:pt>
                <c:pt idx="8">
                  <c:v>0.52857142857142858</c:v>
                </c:pt>
                <c:pt idx="9">
                  <c:v>0.76666666666666661</c:v>
                </c:pt>
                <c:pt idx="10">
                  <c:v>0.86462962962962975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2B-0346-9197-7A3C0BCFBA31}"/>
            </c:ext>
          </c:extLst>
        </c:ser>
        <c:ser>
          <c:idx val="7"/>
          <c:order val="7"/>
          <c:tx>
            <c:strRef>
              <c:f>'Kpi Indicators Per Staff'!$U$17</c:f>
              <c:strCache>
                <c:ptCount val="1"/>
                <c:pt idx="0">
                  <c:v>Check Now 26.16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Staff'!$M$18:$M$28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Staff'!$U$18:$U$28</c:f>
              <c:numCache>
                <c:formatCode>0%</c:formatCode>
                <c:ptCount val="11"/>
                <c:pt idx="0">
                  <c:v>1.2285714285714286</c:v>
                </c:pt>
                <c:pt idx="1">
                  <c:v>1.25</c:v>
                </c:pt>
                <c:pt idx="2">
                  <c:v>1.75</c:v>
                </c:pt>
                <c:pt idx="3">
                  <c:v>1.1857142857142857</c:v>
                </c:pt>
                <c:pt idx="4">
                  <c:v>1.2589285714285714</c:v>
                </c:pt>
                <c:pt idx="5">
                  <c:v>1.4126984126984128</c:v>
                </c:pt>
                <c:pt idx="6">
                  <c:v>1.2857142857142858</c:v>
                </c:pt>
                <c:pt idx="7">
                  <c:v>0.91428571428571426</c:v>
                </c:pt>
                <c:pt idx="8">
                  <c:v>0.42857142857142855</c:v>
                </c:pt>
                <c:pt idx="9">
                  <c:v>1.3419999999999999</c:v>
                </c:pt>
                <c:pt idx="10">
                  <c:v>1.0705714285714287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C42-A3F2-66E83EF44464}"/>
            </c:ext>
          </c:extLst>
        </c:ser>
        <c:ser>
          <c:idx val="8"/>
          <c:order val="8"/>
          <c:tx>
            <c:strRef>
              <c:f>'Kpi Indicators Per Staff'!$V$17</c:f>
              <c:strCache>
                <c:ptCount val="1"/>
                <c:pt idx="0">
                  <c:v>Check Now 26.17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Staff'!$M$18:$M$28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Staff'!$V$18:$V$28</c:f>
              <c:numCache>
                <c:formatCode>0%</c:formatCode>
                <c:ptCount val="11"/>
                <c:pt idx="0">
                  <c:v>1</c:v>
                </c:pt>
                <c:pt idx="1">
                  <c:v>1.4285714285714286</c:v>
                </c:pt>
                <c:pt idx="2">
                  <c:v>0.3888888888888889</c:v>
                </c:pt>
                <c:pt idx="3">
                  <c:v>1.4214285714285715</c:v>
                </c:pt>
                <c:pt idx="4">
                  <c:v>1.1000000000000001</c:v>
                </c:pt>
                <c:pt idx="5">
                  <c:v>1.8571428571428572</c:v>
                </c:pt>
                <c:pt idx="6">
                  <c:v>1.2142857142857142</c:v>
                </c:pt>
                <c:pt idx="7">
                  <c:v>1.5975714285714286</c:v>
                </c:pt>
                <c:pt idx="8">
                  <c:v>0.63265306122448983</c:v>
                </c:pt>
                <c:pt idx="9">
                  <c:v>1.5702857142857143</c:v>
                </c:pt>
                <c:pt idx="10">
                  <c:v>1.4398412698412699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D-514E-B161-21168DE5D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296639"/>
        <c:axId val="390771839"/>
      </c:barChart>
      <c:catAx>
        <c:axId val="38729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90771839"/>
        <c:crosses val="autoZero"/>
        <c:auto val="1"/>
        <c:lblAlgn val="ctr"/>
        <c:lblOffset val="100"/>
        <c:noMultiLvlLbl val="0"/>
      </c:catAx>
      <c:valAx>
        <c:axId val="3907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87296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Light" panose="020B0004020202020204" pitchFamily="34" charset="0"/>
                <a:ea typeface="+mn-ea"/>
                <a:cs typeface="+mn-cs"/>
              </a:rPr>
              <a:t>Done Tasks Per Staff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Indicators Per Staff'!$C$31</c:f>
              <c:strCache>
                <c:ptCount val="1"/>
                <c:pt idx="0">
                  <c:v>Check Now 25.9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Staff'!$B$32:$B$42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Staff'!$C$32:$C$42</c:f>
              <c:numCache>
                <c:formatCode>0%</c:formatCode>
                <c:ptCount val="11"/>
                <c:pt idx="0">
                  <c:v>0.2857142857142857</c:v>
                </c:pt>
                <c:pt idx="1">
                  <c:v>0.2</c:v>
                </c:pt>
                <c:pt idx="2">
                  <c:v>0.53846153846153844</c:v>
                </c:pt>
                <c:pt idx="3">
                  <c:v>0</c:v>
                </c:pt>
                <c:pt idx="4">
                  <c:v>0.46666666666666667</c:v>
                </c:pt>
                <c:pt idx="5">
                  <c:v>0.8666666666666667</c:v>
                </c:pt>
                <c:pt idx="6">
                  <c:v>0.45454545454545453</c:v>
                </c:pt>
                <c:pt idx="7">
                  <c:v>0</c:v>
                </c:pt>
                <c:pt idx="8">
                  <c:v>0.2</c:v>
                </c:pt>
                <c:pt idx="9">
                  <c:v>7.1428571428571425E-2</c:v>
                </c:pt>
                <c:pt idx="10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2-DE42-8A69-CB751798D9E3}"/>
            </c:ext>
          </c:extLst>
        </c:ser>
        <c:ser>
          <c:idx val="1"/>
          <c:order val="1"/>
          <c:tx>
            <c:strRef>
              <c:f>'Kpi Indicators Per Staff'!$D$31</c:f>
              <c:strCache>
                <c:ptCount val="1"/>
                <c:pt idx="0">
                  <c:v>Check Now 25.10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Staff'!$B$32:$B$42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Staff'!$D$32:$D$42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0.46666666666666667</c:v>
                </c:pt>
                <c:pt idx="3">
                  <c:v>0</c:v>
                </c:pt>
                <c:pt idx="4">
                  <c:v>0.66666666666666663</c:v>
                </c:pt>
                <c:pt idx="5">
                  <c:v>0.42857142857142855</c:v>
                </c:pt>
                <c:pt idx="6">
                  <c:v>1</c:v>
                </c:pt>
                <c:pt idx="7">
                  <c:v>0</c:v>
                </c:pt>
                <c:pt idx="8">
                  <c:v>0.83333333333333337</c:v>
                </c:pt>
                <c:pt idx="9">
                  <c:v>0.35</c:v>
                </c:pt>
                <c:pt idx="1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2-DE42-8A69-CB751798D9E3}"/>
            </c:ext>
          </c:extLst>
        </c:ser>
        <c:ser>
          <c:idx val="2"/>
          <c:order val="2"/>
          <c:tx>
            <c:strRef>
              <c:f>'Kpi Indicators Per Staff'!$E$31</c:f>
              <c:strCache>
                <c:ptCount val="1"/>
                <c:pt idx="0">
                  <c:v>Check Now 25.11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Staff'!$B$32:$B$42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Staff'!$E$32:$E$42</c:f>
              <c:numCache>
                <c:formatCode>0%</c:formatCode>
                <c:ptCount val="11"/>
                <c:pt idx="0">
                  <c:v>1</c:v>
                </c:pt>
                <c:pt idx="1">
                  <c:v>0.69230769230769229</c:v>
                </c:pt>
                <c:pt idx="2">
                  <c:v>0.6470588235294118</c:v>
                </c:pt>
                <c:pt idx="3">
                  <c:v>0</c:v>
                </c:pt>
                <c:pt idx="4">
                  <c:v>0.61764705882352944</c:v>
                </c:pt>
                <c:pt idx="5">
                  <c:v>0.96666666666666667</c:v>
                </c:pt>
                <c:pt idx="6">
                  <c:v>0.88888888888888884</c:v>
                </c:pt>
                <c:pt idx="7">
                  <c:v>0</c:v>
                </c:pt>
                <c:pt idx="8">
                  <c:v>0.4</c:v>
                </c:pt>
                <c:pt idx="9">
                  <c:v>0.61538461538461542</c:v>
                </c:pt>
                <c:pt idx="1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02-DE42-8A69-CB751798D9E3}"/>
            </c:ext>
          </c:extLst>
        </c:ser>
        <c:ser>
          <c:idx val="3"/>
          <c:order val="3"/>
          <c:tx>
            <c:strRef>
              <c:f>'Kpi Indicators Per Staff'!$F$31</c:f>
              <c:strCache>
                <c:ptCount val="1"/>
                <c:pt idx="0">
                  <c:v>Check Now 25.11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Staff'!$B$32:$B$42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Staff'!$F$32:$F$42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0.86363636363636365</c:v>
                </c:pt>
                <c:pt idx="3">
                  <c:v>0</c:v>
                </c:pt>
                <c:pt idx="4">
                  <c:v>0.65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0.44444444444444442</c:v>
                </c:pt>
                <c:pt idx="9">
                  <c:v>0.41666666666666669</c:v>
                </c:pt>
                <c:pt idx="10">
                  <c:v>0.61538461538461542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02-DE42-8A69-CB751798D9E3}"/>
            </c:ext>
          </c:extLst>
        </c:ser>
        <c:ser>
          <c:idx val="4"/>
          <c:order val="4"/>
          <c:tx>
            <c:strRef>
              <c:f>'Kpi Indicators Per Staff'!$G$31</c:f>
              <c:strCache>
                <c:ptCount val="1"/>
                <c:pt idx="0">
                  <c:v>Check Now 25.13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Staff'!$B$32:$B$42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Staff'!$G$32:$G$42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0.875</c:v>
                </c:pt>
                <c:pt idx="3">
                  <c:v>0</c:v>
                </c:pt>
                <c:pt idx="4">
                  <c:v>0.73913043478260865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0.66666666666666663</c:v>
                </c:pt>
                <c:pt idx="9">
                  <c:v>0.58333333333333337</c:v>
                </c:pt>
                <c:pt idx="10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02-DE42-8A69-CB751798D9E3}"/>
            </c:ext>
          </c:extLst>
        </c:ser>
        <c:ser>
          <c:idx val="5"/>
          <c:order val="5"/>
          <c:tx>
            <c:strRef>
              <c:f>'Kpi Indicators Per Staff'!$H$31</c:f>
              <c:strCache>
                <c:ptCount val="1"/>
                <c:pt idx="0">
                  <c:v>Check Now 25.14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Staff'!$B$32:$B$42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Staff'!$H$32:$H$42</c:f>
              <c:numCache>
                <c:formatCode>0%</c:formatCode>
                <c:ptCount val="11"/>
                <c:pt idx="0">
                  <c:v>0.66666666666666663</c:v>
                </c:pt>
                <c:pt idx="1">
                  <c:v>0.81481481481481477</c:v>
                </c:pt>
                <c:pt idx="2">
                  <c:v>0.81818181818181823</c:v>
                </c:pt>
                <c:pt idx="3">
                  <c:v>0.93333333333333335</c:v>
                </c:pt>
                <c:pt idx="4">
                  <c:v>0.7857142857142857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0.8125</c:v>
                </c:pt>
                <c:pt idx="9">
                  <c:v>0.375</c:v>
                </c:pt>
                <c:pt idx="10">
                  <c:v>0.48148148148148145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02-DE42-8A69-CB751798D9E3}"/>
            </c:ext>
          </c:extLst>
        </c:ser>
        <c:ser>
          <c:idx val="6"/>
          <c:order val="6"/>
          <c:tx>
            <c:strRef>
              <c:f>'Kpi Indicators Per Staff'!$I$31</c:f>
              <c:strCache>
                <c:ptCount val="1"/>
                <c:pt idx="0">
                  <c:v>Check Now 26.15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Staff'!$B$32:$B$42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Staff'!$I$32:$I$42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0.90909090909090906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0.6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02-DE42-8A69-CB751798D9E3}"/>
            </c:ext>
          </c:extLst>
        </c:ser>
        <c:ser>
          <c:idx val="7"/>
          <c:order val="7"/>
          <c:tx>
            <c:strRef>
              <c:f>'Kpi Indicators Per Staff'!$J$31</c:f>
              <c:strCache>
                <c:ptCount val="1"/>
                <c:pt idx="0">
                  <c:v>Check Now 26.16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Staff'!$B$32:$B$42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Staff'!$J$32:$J$42</c:f>
              <c:numCache>
                <c:formatCode>0%</c:formatCode>
                <c:ptCount val="11"/>
                <c:pt idx="0">
                  <c:v>1</c:v>
                </c:pt>
                <c:pt idx="1">
                  <c:v>0.69230769230769229</c:v>
                </c:pt>
                <c:pt idx="2">
                  <c:v>0.5714285714285714</c:v>
                </c:pt>
                <c:pt idx="3">
                  <c:v>0.86956521739130432</c:v>
                </c:pt>
                <c:pt idx="4">
                  <c:v>0.95</c:v>
                </c:pt>
                <c:pt idx="5">
                  <c:v>1</c:v>
                </c:pt>
                <c:pt idx="6">
                  <c:v>1</c:v>
                </c:pt>
                <c:pt idx="7">
                  <c:v>0.6470588235294118</c:v>
                </c:pt>
                <c:pt idx="8">
                  <c:v>0.66666666666666663</c:v>
                </c:pt>
                <c:pt idx="9">
                  <c:v>0.66666666666666663</c:v>
                </c:pt>
                <c:pt idx="10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F-2F49-B1E4-2BCEC288FEE4}"/>
            </c:ext>
          </c:extLst>
        </c:ser>
        <c:ser>
          <c:idx val="8"/>
          <c:order val="8"/>
          <c:tx>
            <c:strRef>
              <c:f>'Kpi Indicators Per Staff'!$K$31</c:f>
              <c:strCache>
                <c:ptCount val="1"/>
                <c:pt idx="0">
                  <c:v>Check Now 26.17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Staff'!$B$32:$B$42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Staff'!$K$32:$K$42</c:f>
              <c:numCache>
                <c:formatCode>0%</c:formatCode>
                <c:ptCount val="11"/>
                <c:pt idx="0">
                  <c:v>1</c:v>
                </c:pt>
                <c:pt idx="1">
                  <c:v>0.8</c:v>
                </c:pt>
                <c:pt idx="2">
                  <c:v>1</c:v>
                </c:pt>
                <c:pt idx="3">
                  <c:v>0.96666666666666667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0.78947368421052633</c:v>
                </c:pt>
                <c:pt idx="8">
                  <c:v>0.6428571428571429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B-BC47-A3F7-34ECC436B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296639"/>
        <c:axId val="390771839"/>
      </c:barChart>
      <c:catAx>
        <c:axId val="38729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90771839"/>
        <c:crosses val="autoZero"/>
        <c:auto val="1"/>
        <c:lblAlgn val="ctr"/>
        <c:lblOffset val="100"/>
        <c:noMultiLvlLbl val="0"/>
      </c:catAx>
      <c:valAx>
        <c:axId val="3907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87296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Light" panose="020B0004020202020204" pitchFamily="34" charset="0"/>
                <a:ea typeface="+mn-ea"/>
                <a:cs typeface="+mn-cs"/>
              </a:rPr>
              <a:t>MidSprint_Addition Per Staff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Indicators Per Staff'!$N$31</c:f>
              <c:strCache>
                <c:ptCount val="1"/>
                <c:pt idx="0">
                  <c:v>Check Now 25.9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Staff'!$M$32:$M$42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Staff'!$N$32:$N$42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6.6666666666666666E-2</c:v>
                </c:pt>
                <c:pt idx="6">
                  <c:v>9.0909090909090912E-2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5-0F47-A0D9-10ECB097F2C5}"/>
            </c:ext>
          </c:extLst>
        </c:ser>
        <c:ser>
          <c:idx val="1"/>
          <c:order val="1"/>
          <c:tx>
            <c:strRef>
              <c:f>'Kpi Indicators Per Staff'!$O$31</c:f>
              <c:strCache>
                <c:ptCount val="1"/>
                <c:pt idx="0">
                  <c:v>Check Now 25.10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Staff'!$M$32:$M$42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Staff'!$O$32:$O$42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8.3333333333333329E-2</c:v>
                </c:pt>
                <c:pt idx="9">
                  <c:v>0.35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5-0F47-A0D9-10ECB097F2C5}"/>
            </c:ext>
          </c:extLst>
        </c:ser>
        <c:ser>
          <c:idx val="2"/>
          <c:order val="2"/>
          <c:tx>
            <c:strRef>
              <c:f>'Kpi Indicators Per Staff'!$P$31</c:f>
              <c:strCache>
                <c:ptCount val="1"/>
                <c:pt idx="0">
                  <c:v>Check Now 25.11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Staff'!$M$32:$M$42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Staff'!$P$32:$P$42</c:f>
              <c:numCache>
                <c:formatCode>0%</c:formatCode>
                <c:ptCount val="11"/>
                <c:pt idx="0">
                  <c:v>0</c:v>
                </c:pt>
                <c:pt idx="1">
                  <c:v>0.19230769230769232</c:v>
                </c:pt>
                <c:pt idx="2">
                  <c:v>5.8823529411764705E-2</c:v>
                </c:pt>
                <c:pt idx="3">
                  <c:v>0</c:v>
                </c:pt>
                <c:pt idx="4">
                  <c:v>2.9411764705882353E-2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0.30769230769230771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55-0F47-A0D9-10ECB097F2C5}"/>
            </c:ext>
          </c:extLst>
        </c:ser>
        <c:ser>
          <c:idx val="3"/>
          <c:order val="3"/>
          <c:tx>
            <c:strRef>
              <c:f>'Kpi Indicators Per Staff'!$Q$31</c:f>
              <c:strCache>
                <c:ptCount val="1"/>
                <c:pt idx="0">
                  <c:v>Check Now 25.12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Staff'!$M$32:$M$42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Staff'!$Q$32:$Q$42</c:f>
              <c:numCache>
                <c:formatCode>0%</c:formatCode>
                <c:ptCount val="11"/>
                <c:pt idx="0">
                  <c:v>0</c:v>
                </c:pt>
                <c:pt idx="1">
                  <c:v>0.875</c:v>
                </c:pt>
                <c:pt idx="2">
                  <c:v>0.13636363636363635</c:v>
                </c:pt>
                <c:pt idx="3">
                  <c:v>0</c:v>
                </c:pt>
                <c:pt idx="4">
                  <c:v>0.05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</c:v>
                </c:pt>
                <c:pt idx="10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55-0F47-A0D9-10ECB097F2C5}"/>
            </c:ext>
          </c:extLst>
        </c:ser>
        <c:ser>
          <c:idx val="4"/>
          <c:order val="4"/>
          <c:tx>
            <c:strRef>
              <c:f>'Kpi Indicators Per Staff'!$R$31</c:f>
              <c:strCache>
                <c:ptCount val="1"/>
                <c:pt idx="0">
                  <c:v>Check Now 25.13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Staff'!$M$32:$M$42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Staff'!$R$32:$R$42</c:f>
              <c:numCache>
                <c:formatCode>0%</c:formatCode>
                <c:ptCount val="11"/>
                <c:pt idx="0">
                  <c:v>0</c:v>
                </c:pt>
                <c:pt idx="1">
                  <c:v>0.125</c:v>
                </c:pt>
                <c:pt idx="2">
                  <c:v>0</c:v>
                </c:pt>
                <c:pt idx="3">
                  <c:v>0</c:v>
                </c:pt>
                <c:pt idx="4">
                  <c:v>0.21739130434782608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55-0F47-A0D9-10ECB097F2C5}"/>
            </c:ext>
          </c:extLst>
        </c:ser>
        <c:ser>
          <c:idx val="5"/>
          <c:order val="5"/>
          <c:tx>
            <c:strRef>
              <c:f>'Kpi Indicators Per Staff'!$S$31</c:f>
              <c:strCache>
                <c:ptCount val="1"/>
                <c:pt idx="0">
                  <c:v>Check Now 25.14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Staff'!$M$32:$M$42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Staff'!$S$32:$S$42</c:f>
              <c:numCache>
                <c:formatCode>0%</c:formatCode>
                <c:ptCount val="11"/>
                <c:pt idx="0">
                  <c:v>0</c:v>
                </c:pt>
                <c:pt idx="1">
                  <c:v>7.407407407407407E-2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8.3333333333333329E-2</c:v>
                </c:pt>
                <c:pt idx="7">
                  <c:v>0</c:v>
                </c:pt>
                <c:pt idx="8">
                  <c:v>0.375</c:v>
                </c:pt>
                <c:pt idx="9">
                  <c:v>6.25E-2</c:v>
                </c:pt>
                <c:pt idx="10">
                  <c:v>0.29629629629629628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55-0F47-A0D9-10ECB097F2C5}"/>
            </c:ext>
          </c:extLst>
        </c:ser>
        <c:ser>
          <c:idx val="6"/>
          <c:order val="6"/>
          <c:tx>
            <c:strRef>
              <c:f>'Kpi Indicators Per Staff'!$T$31</c:f>
              <c:strCache>
                <c:ptCount val="1"/>
                <c:pt idx="0">
                  <c:v>Check Now 26.15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Staff'!$M$32:$M$42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Staff'!$T$32:$T$42</c:f>
              <c:numCache>
                <c:formatCode>0%</c:formatCode>
                <c:ptCount val="11"/>
                <c:pt idx="0">
                  <c:v>0</c:v>
                </c:pt>
                <c:pt idx="1">
                  <c:v>0.21052631578947367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55-0F47-A0D9-10ECB097F2C5}"/>
            </c:ext>
          </c:extLst>
        </c:ser>
        <c:ser>
          <c:idx val="7"/>
          <c:order val="7"/>
          <c:tx>
            <c:strRef>
              <c:f>'Kpi Indicators Per Staff'!$U$31</c:f>
              <c:strCache>
                <c:ptCount val="1"/>
                <c:pt idx="0">
                  <c:v>Check Now 26.16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Staff'!$M$32:$M$42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Staff'!$U$32:$U$42</c:f>
              <c:numCache>
                <c:formatCode>0%</c:formatCode>
                <c:ptCount val="11"/>
                <c:pt idx="0">
                  <c:v>0</c:v>
                </c:pt>
                <c:pt idx="1">
                  <c:v>7.6923076923076927E-2</c:v>
                </c:pt>
                <c:pt idx="2">
                  <c:v>0.2857142857142857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A-0B4F-B0EF-8ACEFAC421BB}"/>
            </c:ext>
          </c:extLst>
        </c:ser>
        <c:ser>
          <c:idx val="8"/>
          <c:order val="8"/>
          <c:tx>
            <c:strRef>
              <c:f>'Kpi Indicators Per Staff'!$V$31</c:f>
              <c:strCache>
                <c:ptCount val="1"/>
                <c:pt idx="0">
                  <c:v>Check Now 26.17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Staff'!$M$32:$M$42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Staff'!$V$32:$V$42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7.1428571428571425E-2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4-1E4F-9BF7-8E7821248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296639"/>
        <c:axId val="390771839"/>
      </c:barChart>
      <c:catAx>
        <c:axId val="38729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90771839"/>
        <c:crosses val="autoZero"/>
        <c:auto val="1"/>
        <c:lblAlgn val="ctr"/>
        <c:lblOffset val="100"/>
        <c:noMultiLvlLbl val="0"/>
      </c:catAx>
      <c:valAx>
        <c:axId val="3907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87296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latin typeface="Aptos Light" panose="020B0004020202020204" pitchFamily="34" charset="0"/>
              </a:rPr>
              <a:t>Ad-hoc Per Staff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Indicators Per Staff'!$N$45</c:f>
              <c:strCache>
                <c:ptCount val="1"/>
                <c:pt idx="0">
                  <c:v>Check Now 26.15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Staff'!$M$46:$M$56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Staff'!$N$46:$N$56</c:f>
              <c:numCache>
                <c:formatCode>0%</c:formatCode>
                <c:ptCount val="11"/>
                <c:pt idx="0">
                  <c:v>0</c:v>
                </c:pt>
                <c:pt idx="1">
                  <c:v>0.21052631578947367</c:v>
                </c:pt>
                <c:pt idx="2">
                  <c:v>9.0909090909090912E-2</c:v>
                </c:pt>
                <c:pt idx="3">
                  <c:v>0</c:v>
                </c:pt>
                <c:pt idx="4">
                  <c:v>0.13043478260869565</c:v>
                </c:pt>
                <c:pt idx="5">
                  <c:v>7.6923076923076927E-2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9-5146-A8C1-AEC15E0C378A}"/>
            </c:ext>
          </c:extLst>
        </c:ser>
        <c:ser>
          <c:idx val="1"/>
          <c:order val="1"/>
          <c:tx>
            <c:strRef>
              <c:f>'Kpi Indicators Per Staff'!$O$45</c:f>
              <c:strCache>
                <c:ptCount val="1"/>
                <c:pt idx="0">
                  <c:v>Check Now 26.16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Staff'!$M$46:$M$56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Staff'!$O$46:$O$56</c:f>
              <c:numCache>
                <c:formatCode>0%</c:formatCode>
                <c:ptCount val="11"/>
                <c:pt idx="0">
                  <c:v>0</c:v>
                </c:pt>
                <c:pt idx="1">
                  <c:v>0.30769230769230771</c:v>
                </c:pt>
                <c:pt idx="2">
                  <c:v>0.14285714285714285</c:v>
                </c:pt>
                <c:pt idx="3">
                  <c:v>0</c:v>
                </c:pt>
                <c:pt idx="4">
                  <c:v>0</c:v>
                </c:pt>
                <c:pt idx="5">
                  <c:v>9.0909090909090912E-2</c:v>
                </c:pt>
                <c:pt idx="6">
                  <c:v>0.22222222222222221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C-1949-8BD2-8D4A34A558CF}"/>
            </c:ext>
          </c:extLst>
        </c:ser>
        <c:ser>
          <c:idx val="2"/>
          <c:order val="2"/>
          <c:tx>
            <c:strRef>
              <c:f>'Kpi Indicators Per Staff'!$P$45</c:f>
              <c:strCache>
                <c:ptCount val="1"/>
                <c:pt idx="0">
                  <c:v>Check Now 26.17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 Indicators Per Staff'!$M$46:$M$56</c:f>
              <c:strCache>
                <c:ptCount val="11"/>
                <c:pt idx="0">
                  <c:v>Ahmed Talaat &lt;atalaat@youxel.com&gt;</c:v>
                </c:pt>
                <c:pt idx="1">
                  <c:v>Alaa Ezzat &lt;aezzat@youxel.com&gt;</c:v>
                </c:pt>
                <c:pt idx="2">
                  <c:v>Enas Diab &lt;ediab@youxel.com&gt;</c:v>
                </c:pt>
                <c:pt idx="3">
                  <c:v>Galal Torkey &lt;gtorkey@youxel.com&gt;</c:v>
                </c:pt>
                <c:pt idx="4">
                  <c:v>Hussein Abdallah &lt;habdallah@youxel.com&gt;</c:v>
                </c:pt>
                <c:pt idx="5">
                  <c:v>Mahmoud Adel Ali &lt;madeel@youxel.com&gt;</c:v>
                </c:pt>
                <c:pt idx="6">
                  <c:v>Mahmoud Ibrahim Elfeqy &lt;mfeqy@youxel.com&gt;</c:v>
                </c:pt>
                <c:pt idx="7">
                  <c:v>Mariam Mohamed Saeed &lt;msaeed@youxel.com&gt;</c:v>
                </c:pt>
                <c:pt idx="8">
                  <c:v>Mohamed Mustafa Farrag &lt;mfarrag@youxel.com&gt;</c:v>
                </c:pt>
                <c:pt idx="9">
                  <c:v>Salma Sameh &lt;ssameh@youxel.com&gt;</c:v>
                </c:pt>
                <c:pt idx="10">
                  <c:v>Shimaa Mohamed Elsayed &lt;shhadad@youxel.com&gt;</c:v>
                </c:pt>
              </c:strCache>
            </c:strRef>
          </c:cat>
          <c:val>
            <c:numRef>
              <c:f>'Kpi Indicators Per Staff'!$P$46:$P$56</c:f>
              <c:numCache>
                <c:formatCode>0%</c:formatCode>
                <c:ptCount val="11"/>
                <c:pt idx="0">
                  <c:v>0</c:v>
                </c:pt>
                <c:pt idx="1">
                  <c:v>0.15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5.8823529411764705E-2</c:v>
                </c:pt>
                <c:pt idx="6">
                  <c:v>0.27272727272727271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1-1A4C-8220-2BDE6EEBB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296639"/>
        <c:axId val="390771839"/>
      </c:barChart>
      <c:catAx>
        <c:axId val="38729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90771839"/>
        <c:crosses val="autoZero"/>
        <c:auto val="1"/>
        <c:lblAlgn val="ctr"/>
        <c:lblOffset val="100"/>
        <c:noMultiLvlLbl val="0"/>
      </c:catAx>
      <c:valAx>
        <c:axId val="3907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87296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j-ea"/>
                <a:cs typeface="+mj-cs"/>
              </a:defRPr>
            </a:pPr>
            <a:r>
              <a:rPr lang="en-US"/>
              <a:t>Kpi Indicators Per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Aptos Light" panose="020B0004020202020204" pitchFamily="34" charset="0"/>
              <a:ea typeface="+mj-ea"/>
              <a:cs typeface="+mj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Indicators Per Team'!$B$18</c:f>
              <c:strCache>
                <c:ptCount val="1"/>
                <c:pt idx="0">
                  <c:v>Design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Indicators Per Team'!$C$16:$K$17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Team'!$C$18:$K$18</c:f>
              <c:numCache>
                <c:formatCode>0%</c:formatCode>
                <c:ptCount val="9"/>
                <c:pt idx="0">
                  <c:v>0.79809965768753954</c:v>
                </c:pt>
                <c:pt idx="1">
                  <c:v>0.6269118318312854</c:v>
                </c:pt>
                <c:pt idx="2">
                  <c:v>0.74432577691533197</c:v>
                </c:pt>
                <c:pt idx="3">
                  <c:v>0.61529270436485084</c:v>
                </c:pt>
                <c:pt idx="4">
                  <c:v>0.65694498432257764</c:v>
                </c:pt>
                <c:pt idx="5">
                  <c:v>0.58839881856615106</c:v>
                </c:pt>
                <c:pt idx="6">
                  <c:v>0.8235006136035361</c:v>
                </c:pt>
                <c:pt idx="7">
                  <c:v>0.80396052079114644</c:v>
                </c:pt>
                <c:pt idx="8">
                  <c:v>0.93870840392432675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6-074F-AD5D-F9C2A199F233}"/>
            </c:ext>
          </c:extLst>
        </c:ser>
        <c:ser>
          <c:idx val="1"/>
          <c:order val="1"/>
          <c:tx>
            <c:strRef>
              <c:f>'Kpi Indicators Per Team'!$B$19</c:f>
              <c:strCache>
                <c:ptCount val="1"/>
                <c:pt idx="0">
                  <c:v>Development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 Indicators Per Team'!$C$16:$K$17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Team'!$C$19:$K$19</c:f>
              <c:numCache>
                <c:formatCode>0%</c:formatCode>
                <c:ptCount val="9"/>
                <c:pt idx="0">
                  <c:v>0.65546725199799094</c:v>
                </c:pt>
                <c:pt idx="1">
                  <c:v>0.8539146906235513</c:v>
                </c:pt>
                <c:pt idx="2">
                  <c:v>1.0025699358413114</c:v>
                </c:pt>
                <c:pt idx="3">
                  <c:v>1.0370554830088978</c:v>
                </c:pt>
                <c:pt idx="4">
                  <c:v>1.0492731597726972</c:v>
                </c:pt>
                <c:pt idx="5">
                  <c:v>0.93798984359850412</c:v>
                </c:pt>
                <c:pt idx="6">
                  <c:v>0.98769081779053081</c:v>
                </c:pt>
                <c:pt idx="7">
                  <c:v>0.99666910866910863</c:v>
                </c:pt>
                <c:pt idx="8">
                  <c:v>0.97379134860050887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6-074F-AD5D-F9C2A199F233}"/>
            </c:ext>
          </c:extLst>
        </c:ser>
        <c:ser>
          <c:idx val="2"/>
          <c:order val="2"/>
          <c:tx>
            <c:strRef>
              <c:f>'Kpi Indicators Per Team'!$B$20</c:f>
              <c:strCache>
                <c:ptCount val="1"/>
                <c:pt idx="0">
                  <c:v>Front 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'Kpi Indicators Per Team'!$C$16:$K$17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Team'!$C$20:$K$20</c:f>
              <c:numCache>
                <c:formatCode>0%</c:formatCode>
                <c:ptCount val="9"/>
                <c:pt idx="0">
                  <c:v>0.70965015929060082</c:v>
                </c:pt>
                <c:pt idx="1">
                  <c:v>0.82829809784753461</c:v>
                </c:pt>
                <c:pt idx="2">
                  <c:v>0.68234265439554675</c:v>
                </c:pt>
                <c:pt idx="3">
                  <c:v>0.80212597294558297</c:v>
                </c:pt>
                <c:pt idx="4">
                  <c:v>0.85231116889549285</c:v>
                </c:pt>
                <c:pt idx="5">
                  <c:v>0.79404113983714497</c:v>
                </c:pt>
                <c:pt idx="6">
                  <c:v>0.82176143259494994</c:v>
                </c:pt>
                <c:pt idx="7">
                  <c:v>0.77447955986863026</c:v>
                </c:pt>
                <c:pt idx="8">
                  <c:v>0.8110626929975614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46-074F-AD5D-F9C2A199F233}"/>
            </c:ext>
          </c:extLst>
        </c:ser>
        <c:ser>
          <c:idx val="3"/>
          <c:order val="3"/>
          <c:tx>
            <c:strRef>
              <c:f>'Kpi Indicators Per Team'!$B$21</c:f>
              <c:strCache>
                <c:ptCount val="1"/>
                <c:pt idx="0">
                  <c:v>Testing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'Kpi Indicators Per Team'!$C$16:$K$17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Team'!$C$21:$K$21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0.88979047619047624</c:v>
                </c:pt>
                <c:pt idx="6">
                  <c:v>0.97796992481203004</c:v>
                </c:pt>
                <c:pt idx="7">
                  <c:v>0.89605320791297161</c:v>
                </c:pt>
                <c:pt idx="8">
                  <c:v>1.0009691482226692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46-074F-AD5D-F9C2A199F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16845311"/>
        <c:axId val="716838591"/>
      </c:barChart>
      <c:catAx>
        <c:axId val="716845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  <c:crossAx val="716838591"/>
        <c:crosses val="autoZero"/>
        <c:auto val="1"/>
        <c:lblAlgn val="ctr"/>
        <c:lblOffset val="100"/>
        <c:noMultiLvlLbl val="0"/>
      </c:catAx>
      <c:valAx>
        <c:axId val="71683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Light" panose="020B0004020202020204" pitchFamily="34" charset="0"/>
                  <a:ea typeface="+mn-ea"/>
                  <a:cs typeface="+mn-cs"/>
                </a:defRPr>
              </a:pPr>
              <a:endParaRPr lang="en-E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  <c:crossAx val="71684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</c:dTable>
      <c:spPr>
        <a:noFill/>
        <a:ln w="6350">
          <a:solidFill>
            <a:schemeClr val="accent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rgbClr val="FF0000"/>
      </a:solidFill>
      <a:round/>
    </a:ln>
    <a:effectLst/>
  </c:spPr>
  <c:txPr>
    <a:bodyPr/>
    <a:lstStyle/>
    <a:p>
      <a:pPr>
        <a:defRPr sz="900" b="0" i="0">
          <a:latin typeface="Aptos Light" panose="020B0004020202020204" pitchFamily="34" charset="0"/>
        </a:defRPr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j-ea"/>
                <a:cs typeface="+mj-cs"/>
              </a:defRPr>
            </a:pPr>
            <a:r>
              <a:rPr lang="en-US"/>
              <a:t>Performance Rate Per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Aptos Light" panose="020B0004020202020204" pitchFamily="34" charset="0"/>
              <a:ea typeface="+mj-ea"/>
              <a:cs typeface="+mj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Indicators Per Team'!$B$25</c:f>
              <c:strCache>
                <c:ptCount val="1"/>
                <c:pt idx="0">
                  <c:v>Design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Indicators Per Team'!$C$24:$K$24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Team'!$C$25:$K$25</c:f>
              <c:numCache>
                <c:formatCode>0%</c:formatCode>
                <c:ptCount val="9"/>
                <c:pt idx="0">
                  <c:v>0.82937707631648516</c:v>
                </c:pt>
                <c:pt idx="1">
                  <c:v>0.92079104321439786</c:v>
                </c:pt>
                <c:pt idx="2">
                  <c:v>0.76584714476474747</c:v>
                </c:pt>
                <c:pt idx="3">
                  <c:v>0.76874352182425432</c:v>
                </c:pt>
                <c:pt idx="4">
                  <c:v>0.73557148245944937</c:v>
                </c:pt>
                <c:pt idx="5">
                  <c:v>0.84959704825711224</c:v>
                </c:pt>
                <c:pt idx="6">
                  <c:v>0.71156289707750942</c:v>
                </c:pt>
                <c:pt idx="7">
                  <c:v>0.74353313616861738</c:v>
                </c:pt>
                <c:pt idx="8">
                  <c:v>0.66122424388480527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7-5142-A868-2F580665BBBA}"/>
            </c:ext>
          </c:extLst>
        </c:ser>
        <c:ser>
          <c:idx val="1"/>
          <c:order val="1"/>
          <c:tx>
            <c:strRef>
              <c:f>'Kpi Indicators Per Team'!$B$26</c:f>
              <c:strCache>
                <c:ptCount val="1"/>
                <c:pt idx="0">
                  <c:v>Development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 Indicators Per Team'!$C$24:$K$24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Team'!$C$26:$K$26</c:f>
              <c:numCache>
                <c:formatCode>0%</c:formatCode>
                <c:ptCount val="9"/>
                <c:pt idx="0">
                  <c:v>0.82937707631648516</c:v>
                </c:pt>
                <c:pt idx="1">
                  <c:v>0.90295358649789026</c:v>
                </c:pt>
                <c:pt idx="2">
                  <c:v>0.8929889298892989</c:v>
                </c:pt>
                <c:pt idx="3">
                  <c:v>0.96380090497737558</c:v>
                </c:pt>
                <c:pt idx="4">
                  <c:v>0.90062111801242239</c:v>
                </c:pt>
                <c:pt idx="5">
                  <c:v>0.66520787746170673</c:v>
                </c:pt>
                <c:pt idx="6">
                  <c:v>0.79058823529411759</c:v>
                </c:pt>
                <c:pt idx="7">
                  <c:v>0.82905982905982911</c:v>
                </c:pt>
                <c:pt idx="8">
                  <c:v>0.70229007633587781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D7-5142-A868-2F580665BBBA}"/>
            </c:ext>
          </c:extLst>
        </c:ser>
        <c:ser>
          <c:idx val="2"/>
          <c:order val="2"/>
          <c:tx>
            <c:strRef>
              <c:f>'Kpi Indicators Per Team'!$B$27</c:f>
              <c:strCache>
                <c:ptCount val="1"/>
                <c:pt idx="0">
                  <c:v>Front 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'Kpi Indicators Per Team'!$C$24:$K$24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Team'!$C$27:$K$27</c:f>
              <c:numCache>
                <c:formatCode>0%</c:formatCode>
                <c:ptCount val="9"/>
                <c:pt idx="0">
                  <c:v>0.82937707631648516</c:v>
                </c:pt>
                <c:pt idx="1">
                  <c:v>0.79599499374217775</c:v>
                </c:pt>
                <c:pt idx="2">
                  <c:v>0.80965645311049206</c:v>
                </c:pt>
                <c:pt idx="3">
                  <c:v>0.71894409937888204</c:v>
                </c:pt>
                <c:pt idx="4">
                  <c:v>0.63447251114413072</c:v>
                </c:pt>
                <c:pt idx="5">
                  <c:v>0.78732566360305933</c:v>
                </c:pt>
                <c:pt idx="6">
                  <c:v>0.63950666628600794</c:v>
                </c:pt>
                <c:pt idx="7">
                  <c:v>0.65317904934315141</c:v>
                </c:pt>
                <c:pt idx="8">
                  <c:v>0.68672199170124482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D7-5142-A868-2F580665BBBA}"/>
            </c:ext>
          </c:extLst>
        </c:ser>
        <c:ser>
          <c:idx val="3"/>
          <c:order val="3"/>
          <c:tx>
            <c:strRef>
              <c:f>'Kpi Indicators Per Team'!$B$28</c:f>
              <c:strCache>
                <c:ptCount val="1"/>
                <c:pt idx="0">
                  <c:v>Testing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'Kpi Indicators Per Team'!$C$24:$K$24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Team'!$C$28:$K$28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0.76800000000000002</c:v>
                </c:pt>
                <c:pt idx="6">
                  <c:v>0.86842105263157898</c:v>
                </c:pt>
                <c:pt idx="7">
                  <c:v>0.84393063583815031</c:v>
                </c:pt>
                <c:pt idx="8">
                  <c:v>0.91079812206572774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D7-5142-A868-2F580665B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16845311"/>
        <c:axId val="716838591"/>
      </c:barChart>
      <c:catAx>
        <c:axId val="716845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  <c:crossAx val="716838591"/>
        <c:crosses val="autoZero"/>
        <c:auto val="1"/>
        <c:lblAlgn val="ctr"/>
        <c:lblOffset val="100"/>
        <c:noMultiLvlLbl val="0"/>
      </c:catAx>
      <c:valAx>
        <c:axId val="71683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Light" panose="020B0004020202020204" pitchFamily="34" charset="0"/>
                  <a:ea typeface="+mn-ea"/>
                  <a:cs typeface="+mn-cs"/>
                </a:defRPr>
              </a:pPr>
              <a:endParaRPr lang="en-E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  <c:crossAx val="71684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</c:dTable>
      <c:spPr>
        <a:noFill/>
        <a:ln w="6350">
          <a:solidFill>
            <a:schemeClr val="accent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rgbClr val="FF0000"/>
      </a:solidFill>
      <a:round/>
    </a:ln>
    <a:effectLst/>
  </c:spPr>
  <c:txPr>
    <a:bodyPr/>
    <a:lstStyle/>
    <a:p>
      <a:pPr>
        <a:defRPr sz="900" b="0" i="0">
          <a:latin typeface="Aptos Light" panose="020B0004020202020204" pitchFamily="34" charset="0"/>
        </a:defRPr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j-ea"/>
                <a:cs typeface="+mj-cs"/>
              </a:defRPr>
            </a:pPr>
            <a:r>
              <a:rPr lang="en-US"/>
              <a:t>Utilization Per Team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Aptos Light" panose="020B0004020202020204" pitchFamily="34" charset="0"/>
              <a:ea typeface="+mj-ea"/>
              <a:cs typeface="+mj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Indicators Per Team'!$M$25</c:f>
              <c:strCache>
                <c:ptCount val="1"/>
                <c:pt idx="0">
                  <c:v>Design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Indicators Per Team'!$N$24:$V$24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Team'!$N$25:$V$25</c:f>
              <c:numCache>
                <c:formatCode>0%</c:formatCode>
                <c:ptCount val="9"/>
                <c:pt idx="0">
                  <c:v>4.7313333333333345</c:v>
                </c:pt>
                <c:pt idx="1">
                  <c:v>1.6275362318840578</c:v>
                </c:pt>
                <c:pt idx="2">
                  <c:v>1.0839772727272727</c:v>
                </c:pt>
                <c:pt idx="3">
                  <c:v>0.97543999999999997</c:v>
                </c:pt>
                <c:pt idx="4">
                  <c:v>0.89830687830687828</c:v>
                </c:pt>
                <c:pt idx="5">
                  <c:v>1.0917708333333334</c:v>
                </c:pt>
                <c:pt idx="6">
                  <c:v>0.81188034188034197</c:v>
                </c:pt>
                <c:pt idx="7">
                  <c:v>1.0623428571428573</c:v>
                </c:pt>
                <c:pt idx="8">
                  <c:v>1.5392118226600986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2-B94D-8FEE-ABA68690AE06}"/>
            </c:ext>
          </c:extLst>
        </c:ser>
        <c:ser>
          <c:idx val="1"/>
          <c:order val="1"/>
          <c:tx>
            <c:strRef>
              <c:f>'Kpi Indicators Per Team'!$M$26</c:f>
              <c:strCache>
                <c:ptCount val="1"/>
                <c:pt idx="0">
                  <c:v>Development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 Indicators Per Team'!$N$24:$V$24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Team'!$N$26:$V$26</c:f>
              <c:numCache>
                <c:formatCode>0%</c:formatCode>
                <c:ptCount val="9"/>
                <c:pt idx="0">
                  <c:v>1.0459183673469388</c:v>
                </c:pt>
                <c:pt idx="1">
                  <c:v>1.2467532467532467</c:v>
                </c:pt>
                <c:pt idx="2">
                  <c:v>1.527027027027027</c:v>
                </c:pt>
                <c:pt idx="3">
                  <c:v>1.4429530201342282</c:v>
                </c:pt>
                <c:pt idx="4">
                  <c:v>1.6914893617021276</c:v>
                </c:pt>
                <c:pt idx="5">
                  <c:v>1.3187134502923976</c:v>
                </c:pt>
                <c:pt idx="6">
                  <c:v>1.2957317073170731</c:v>
                </c:pt>
                <c:pt idx="7">
                  <c:v>1.3085714285714285</c:v>
                </c:pt>
                <c:pt idx="8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D2-B94D-8FEE-ABA68690AE06}"/>
            </c:ext>
          </c:extLst>
        </c:ser>
        <c:ser>
          <c:idx val="2"/>
          <c:order val="2"/>
          <c:tx>
            <c:strRef>
              <c:f>'Kpi Indicators Per Team'!$M$27</c:f>
              <c:strCache>
                <c:ptCount val="1"/>
                <c:pt idx="0">
                  <c:v>Front 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'Kpi Indicators Per Team'!$N$24:$V$24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Team'!$N$27:$V$27</c:f>
              <c:numCache>
                <c:formatCode>0%</c:formatCode>
                <c:ptCount val="9"/>
                <c:pt idx="0">
                  <c:v>1.9377474402730379</c:v>
                </c:pt>
                <c:pt idx="1">
                  <c:v>1.3243243243243243</c:v>
                </c:pt>
                <c:pt idx="2">
                  <c:v>1.2295373665480427</c:v>
                </c:pt>
                <c:pt idx="3">
                  <c:v>1.1199568965517241</c:v>
                </c:pt>
                <c:pt idx="4">
                  <c:v>1.1875</c:v>
                </c:pt>
                <c:pt idx="5">
                  <c:v>1.2107213114754098</c:v>
                </c:pt>
                <c:pt idx="6">
                  <c:v>1.0323509933774835</c:v>
                </c:pt>
                <c:pt idx="7">
                  <c:v>1.1884375</c:v>
                </c:pt>
                <c:pt idx="8">
                  <c:v>0.97247706422018354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D2-B94D-8FEE-ABA68690AE06}"/>
            </c:ext>
          </c:extLst>
        </c:ser>
        <c:ser>
          <c:idx val="3"/>
          <c:order val="3"/>
          <c:tx>
            <c:strRef>
              <c:f>'Kpi Indicators Per Team'!$M$28</c:f>
              <c:strCache>
                <c:ptCount val="1"/>
                <c:pt idx="0">
                  <c:v>Testing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'Kpi Indicators Per Team'!$N$24:$V$24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Team'!$N$28:$V$28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0.82857142857142863</c:v>
                </c:pt>
                <c:pt idx="6">
                  <c:v>1.0428571428571429</c:v>
                </c:pt>
                <c:pt idx="7">
                  <c:v>1.1857142857142857</c:v>
                </c:pt>
                <c:pt idx="8">
                  <c:v>1.4214285714285715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D2-B94D-8FEE-ABA68690A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16845311"/>
        <c:axId val="716838591"/>
      </c:barChart>
      <c:catAx>
        <c:axId val="716845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  <c:crossAx val="716838591"/>
        <c:crosses val="autoZero"/>
        <c:auto val="1"/>
        <c:lblAlgn val="ctr"/>
        <c:lblOffset val="100"/>
        <c:noMultiLvlLbl val="0"/>
      </c:catAx>
      <c:valAx>
        <c:axId val="71683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Light" panose="020B0004020202020204" pitchFamily="34" charset="0"/>
                  <a:ea typeface="+mn-ea"/>
                  <a:cs typeface="+mn-cs"/>
                </a:defRPr>
              </a:pPr>
              <a:endParaRPr lang="en-E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  <c:crossAx val="71684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</c:dTable>
      <c:spPr>
        <a:noFill/>
        <a:ln w="6350">
          <a:solidFill>
            <a:schemeClr val="accent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rgbClr val="FF0000"/>
      </a:solidFill>
      <a:round/>
    </a:ln>
    <a:effectLst/>
  </c:spPr>
  <c:txPr>
    <a:bodyPr/>
    <a:lstStyle/>
    <a:p>
      <a:pPr>
        <a:defRPr sz="900" b="0" i="0">
          <a:latin typeface="Aptos Light" panose="020B0004020202020204" pitchFamily="34" charset="0"/>
        </a:defRPr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j-ea"/>
                <a:cs typeface="+mj-cs"/>
              </a:defRPr>
            </a:pPr>
            <a:r>
              <a:rPr lang="en-US"/>
              <a:t>Done Tasks Per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Aptos Light" panose="020B0004020202020204" pitchFamily="34" charset="0"/>
              <a:ea typeface="+mj-ea"/>
              <a:cs typeface="+mj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Indicators Per Team'!$B$32</c:f>
              <c:strCache>
                <c:ptCount val="1"/>
                <c:pt idx="0">
                  <c:v>Design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Indicators Per Team'!$C$31:$K$31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Team'!$C$32:$K$32</c:f>
              <c:numCache>
                <c:formatCode>0%</c:formatCode>
                <c:ptCount val="9"/>
                <c:pt idx="0">
                  <c:v>0.22727272727272727</c:v>
                </c:pt>
                <c:pt idx="1">
                  <c:v>0.4</c:v>
                </c:pt>
                <c:pt idx="2">
                  <c:v>0.68965517241379315</c:v>
                </c:pt>
                <c:pt idx="3">
                  <c:v>0.52</c:v>
                </c:pt>
                <c:pt idx="4">
                  <c:v>0.6</c:v>
                </c:pt>
                <c:pt idx="5">
                  <c:v>0.44186046511627908</c:v>
                </c:pt>
                <c:pt idx="6">
                  <c:v>0.8571428571428571</c:v>
                </c:pt>
                <c:pt idx="7">
                  <c:v>0.78431372549019607</c:v>
                </c:pt>
                <c:pt idx="8">
                  <c:v>0.93220338983050843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F-484C-8EA2-7276D9499C40}"/>
            </c:ext>
          </c:extLst>
        </c:ser>
        <c:ser>
          <c:idx val="1"/>
          <c:order val="1"/>
          <c:tx>
            <c:strRef>
              <c:f>'Kpi Indicators Per Team'!$B$33</c:f>
              <c:strCache>
                <c:ptCount val="1"/>
                <c:pt idx="0">
                  <c:v>Development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 Indicators Per Team'!$C$31:$K$31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Team'!$C$33:$K$33</c:f>
              <c:numCache>
                <c:formatCode>0%</c:formatCode>
                <c:ptCount val="9"/>
                <c:pt idx="0">
                  <c:v>0.55000000000000004</c:v>
                </c:pt>
                <c:pt idx="1">
                  <c:v>0.77500000000000002</c:v>
                </c:pt>
                <c:pt idx="2">
                  <c:v>0.95918367346938771</c:v>
                </c:pt>
                <c:pt idx="3">
                  <c:v>1</c:v>
                </c:pt>
                <c:pt idx="4">
                  <c:v>1</c:v>
                </c:pt>
                <c:pt idx="5">
                  <c:v>0.96153846153846156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F-484C-8EA2-7276D9499C40}"/>
            </c:ext>
          </c:extLst>
        </c:ser>
        <c:ser>
          <c:idx val="2"/>
          <c:order val="2"/>
          <c:tx>
            <c:strRef>
              <c:f>'Kpi Indicators Per Team'!$B$34</c:f>
              <c:strCache>
                <c:ptCount val="1"/>
                <c:pt idx="0">
                  <c:v>Front 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'Kpi Indicators Per Team'!$C$31:$K$31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Team'!$C$34:$K$34</c:f>
              <c:numCache>
                <c:formatCode>0%</c:formatCode>
                <c:ptCount val="9"/>
                <c:pt idx="0">
                  <c:v>0.5</c:v>
                </c:pt>
                <c:pt idx="1">
                  <c:v>0.76666666666666672</c:v>
                </c:pt>
                <c:pt idx="2">
                  <c:v>0.56779661016949157</c:v>
                </c:pt>
                <c:pt idx="3">
                  <c:v>0.78048780487804881</c:v>
                </c:pt>
                <c:pt idx="4">
                  <c:v>0.8666666666666667</c:v>
                </c:pt>
                <c:pt idx="5">
                  <c:v>0.73643410852713176</c:v>
                </c:pt>
                <c:pt idx="6">
                  <c:v>0.84375</c:v>
                </c:pt>
                <c:pt idx="7">
                  <c:v>0.75</c:v>
                </c:pt>
                <c:pt idx="8">
                  <c:v>0.82352941176470584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F-484C-8EA2-7276D9499C40}"/>
            </c:ext>
          </c:extLst>
        </c:ser>
        <c:ser>
          <c:idx val="3"/>
          <c:order val="3"/>
          <c:tx>
            <c:strRef>
              <c:f>'Kpi Indicators Per Team'!$B$35</c:f>
              <c:strCache>
                <c:ptCount val="1"/>
                <c:pt idx="0">
                  <c:v>Testing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'Kpi Indicators Per Team'!$C$31:$K$31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Team'!$C$35:$K$35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0.93333333333333335</c:v>
                </c:pt>
                <c:pt idx="6">
                  <c:v>1</c:v>
                </c:pt>
                <c:pt idx="7">
                  <c:v>0.86956521739130432</c:v>
                </c:pt>
                <c:pt idx="8">
                  <c:v>0.96666666666666667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5F-484C-8EA2-7276D9499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16845311"/>
        <c:axId val="716838591"/>
      </c:barChart>
      <c:catAx>
        <c:axId val="716845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  <c:crossAx val="716838591"/>
        <c:crosses val="autoZero"/>
        <c:auto val="1"/>
        <c:lblAlgn val="ctr"/>
        <c:lblOffset val="100"/>
        <c:noMultiLvlLbl val="0"/>
      </c:catAx>
      <c:valAx>
        <c:axId val="71683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Light" panose="020B0004020202020204" pitchFamily="34" charset="0"/>
                  <a:ea typeface="+mn-ea"/>
                  <a:cs typeface="+mn-cs"/>
                </a:defRPr>
              </a:pPr>
              <a:endParaRPr lang="en-E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  <c:crossAx val="71684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</c:dTable>
      <c:spPr>
        <a:noFill/>
        <a:ln w="6350">
          <a:solidFill>
            <a:schemeClr val="accent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rgbClr val="FF0000"/>
      </a:solidFill>
      <a:round/>
    </a:ln>
    <a:effectLst/>
  </c:spPr>
  <c:txPr>
    <a:bodyPr/>
    <a:lstStyle/>
    <a:p>
      <a:pPr>
        <a:defRPr sz="900" b="0" i="0">
          <a:latin typeface="Aptos Light" panose="020B0004020202020204" pitchFamily="34" charset="0"/>
        </a:defRPr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j-ea"/>
                <a:cs typeface="+mj-cs"/>
              </a:defRPr>
            </a:pPr>
            <a:r>
              <a:rPr lang="en-US"/>
              <a:t>MidSprint_Addition Per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Aptos Light" panose="020B0004020202020204" pitchFamily="34" charset="0"/>
              <a:ea typeface="+mj-ea"/>
              <a:cs typeface="+mj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Indicators Per Team'!$M$32</c:f>
              <c:strCache>
                <c:ptCount val="1"/>
                <c:pt idx="0">
                  <c:v>Design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Indicators Per Team'!$N$31:$V$31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Team'!$N$32:$V$32</c:f>
              <c:numCache>
                <c:formatCode>0%</c:formatCode>
                <c:ptCount val="9"/>
                <c:pt idx="0">
                  <c:v>0</c:v>
                </c:pt>
                <c:pt idx="1">
                  <c:v>0.28000000000000003</c:v>
                </c:pt>
                <c:pt idx="2">
                  <c:v>0.13793103448275862</c:v>
                </c:pt>
                <c:pt idx="3">
                  <c:v>0.16</c:v>
                </c:pt>
                <c:pt idx="4">
                  <c:v>0.15</c:v>
                </c:pt>
                <c:pt idx="5">
                  <c:v>0.20930232558139536</c:v>
                </c:pt>
                <c:pt idx="6">
                  <c:v>7.1428571428571425E-2</c:v>
                </c:pt>
                <c:pt idx="7">
                  <c:v>0</c:v>
                </c:pt>
                <c:pt idx="8">
                  <c:v>1.6949152542372881E-2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9-3545-8B86-35CA37911E01}"/>
            </c:ext>
          </c:extLst>
        </c:ser>
        <c:ser>
          <c:idx val="1"/>
          <c:order val="1"/>
          <c:tx>
            <c:strRef>
              <c:f>'Kpi Indicators Per Team'!$M$33</c:f>
              <c:strCache>
                <c:ptCount val="1"/>
                <c:pt idx="0">
                  <c:v>Development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 Indicators Per Team'!$N$31:$V$31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Team'!$N$33:$V$33</c:f>
              <c:numCache>
                <c:formatCode>0%</c:formatCode>
                <c:ptCount val="9"/>
                <c:pt idx="0">
                  <c:v>3.8461538461538464E-2</c:v>
                </c:pt>
                <c:pt idx="1">
                  <c:v>0.05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3.8461538461538464E-2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9-3545-8B86-35CA37911E01}"/>
            </c:ext>
          </c:extLst>
        </c:ser>
        <c:ser>
          <c:idx val="2"/>
          <c:order val="2"/>
          <c:tx>
            <c:strRef>
              <c:f>'Kpi Indicators Per Team'!$M$34</c:f>
              <c:strCache>
                <c:ptCount val="1"/>
                <c:pt idx="0">
                  <c:v>Front 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'Kpi Indicators Per Team'!$N$31:$V$31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Team'!$N$34:$V$34</c:f>
              <c:numCache>
                <c:formatCode>0%</c:formatCode>
                <c:ptCount val="9"/>
                <c:pt idx="0">
                  <c:v>0</c:v>
                </c:pt>
                <c:pt idx="1">
                  <c:v>0.23333333333333334</c:v>
                </c:pt>
                <c:pt idx="2">
                  <c:v>8.4745762711864403E-2</c:v>
                </c:pt>
                <c:pt idx="3">
                  <c:v>0.17073170731707318</c:v>
                </c:pt>
                <c:pt idx="4">
                  <c:v>9.3333333333333338E-2</c:v>
                </c:pt>
                <c:pt idx="5">
                  <c:v>0.11627906976744186</c:v>
                </c:pt>
                <c:pt idx="6">
                  <c:v>6.25E-2</c:v>
                </c:pt>
                <c:pt idx="7">
                  <c:v>0.10576923076923077</c:v>
                </c:pt>
                <c:pt idx="8">
                  <c:v>1.9607843137254902E-2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89-3545-8B86-35CA37911E01}"/>
            </c:ext>
          </c:extLst>
        </c:ser>
        <c:ser>
          <c:idx val="3"/>
          <c:order val="3"/>
          <c:tx>
            <c:strRef>
              <c:f>'Kpi Indicators Per Team'!$M$35</c:f>
              <c:strCache>
                <c:ptCount val="1"/>
                <c:pt idx="0">
                  <c:v>Testing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'Kpi Indicators Per Team'!$N$31:$V$31</c:f>
              <c:strCache>
                <c:ptCount val="9"/>
                <c:pt idx="0">
                  <c:v>Check Now 25.9</c:v>
                </c:pt>
                <c:pt idx="1">
                  <c:v>Check Now 25.10</c:v>
                </c:pt>
                <c:pt idx="2">
                  <c:v>Check Now 25.11</c:v>
                </c:pt>
                <c:pt idx="3">
                  <c:v>Check Now 25.12</c:v>
                </c:pt>
                <c:pt idx="4">
                  <c:v>Check Now 25.13</c:v>
                </c:pt>
                <c:pt idx="5">
                  <c:v>Check Now 25.14</c:v>
                </c:pt>
                <c:pt idx="6">
                  <c:v>Check Now 26.15</c:v>
                </c:pt>
                <c:pt idx="7">
                  <c:v>Check Now 26.16</c:v>
                </c:pt>
                <c:pt idx="8">
                  <c:v>Check Now 26.17</c:v>
                </c:pt>
              </c:strCache>
            </c:strRef>
          </c:cat>
          <c:val>
            <c:numRef>
              <c:f>'Kpi Indicators Per Team'!$N$35:$V$35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89-3545-8B86-35CA37911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16845311"/>
        <c:axId val="716838591"/>
      </c:barChart>
      <c:catAx>
        <c:axId val="716845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  <c:crossAx val="716838591"/>
        <c:crosses val="autoZero"/>
        <c:auto val="1"/>
        <c:lblAlgn val="ctr"/>
        <c:lblOffset val="100"/>
        <c:noMultiLvlLbl val="0"/>
      </c:catAx>
      <c:valAx>
        <c:axId val="71683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Light" panose="020B0004020202020204" pitchFamily="34" charset="0"/>
                  <a:ea typeface="+mn-ea"/>
                  <a:cs typeface="+mn-cs"/>
                </a:defRPr>
              </a:pPr>
              <a:endParaRPr lang="en-E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  <c:crossAx val="71684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</c:dTable>
      <c:spPr>
        <a:noFill/>
        <a:ln w="6350">
          <a:solidFill>
            <a:schemeClr val="accent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rgbClr val="FF0000"/>
      </a:solidFill>
      <a:round/>
    </a:ln>
    <a:effectLst/>
  </c:spPr>
  <c:txPr>
    <a:bodyPr/>
    <a:lstStyle/>
    <a:p>
      <a:pPr>
        <a:defRPr sz="900" b="0" i="0">
          <a:latin typeface="Aptos Light" panose="020B0004020202020204" pitchFamily="34" charset="0"/>
        </a:defRPr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j-ea"/>
                <a:cs typeface="+mj-cs"/>
              </a:defRPr>
            </a:pPr>
            <a:r>
              <a:rPr lang="en-US"/>
              <a:t>Ad-hoc % Per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Aptos Light" panose="020B0004020202020204" pitchFamily="34" charset="0"/>
              <a:ea typeface="+mj-ea"/>
              <a:cs typeface="+mj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Indicators Per Team'!$M$39</c:f>
              <c:strCache>
                <c:ptCount val="1"/>
                <c:pt idx="0">
                  <c:v>Design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Indicators Per Team'!$N$38:$P$38</c:f>
              <c:strCache>
                <c:ptCount val="3"/>
                <c:pt idx="0">
                  <c:v>Check Now 26.15</c:v>
                </c:pt>
                <c:pt idx="1">
                  <c:v>Check Now 26.16</c:v>
                </c:pt>
                <c:pt idx="2">
                  <c:v>Check Now 26.17</c:v>
                </c:pt>
              </c:strCache>
            </c:strRef>
          </c:cat>
          <c:val>
            <c:numRef>
              <c:f>'Kpi Indicators Per Team'!$N$39:$P$39</c:f>
              <c:numCache>
                <c:formatCode>0%</c:formatCode>
                <c:ptCount val="3"/>
                <c:pt idx="0">
                  <c:v>0</c:v>
                </c:pt>
                <c:pt idx="1">
                  <c:v>7.8431372549019607E-2</c:v>
                </c:pt>
                <c:pt idx="2">
                  <c:v>5.0847457627118647E-2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5-BE47-ABD6-B34CFDA50243}"/>
            </c:ext>
          </c:extLst>
        </c:ser>
        <c:ser>
          <c:idx val="1"/>
          <c:order val="1"/>
          <c:tx>
            <c:strRef>
              <c:f>'Kpi Indicators Per Team'!$M$40</c:f>
              <c:strCache>
                <c:ptCount val="1"/>
                <c:pt idx="0">
                  <c:v>Development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 Indicators Per Team'!$N$38:$P$38</c:f>
              <c:strCache>
                <c:ptCount val="3"/>
                <c:pt idx="0">
                  <c:v>Check Now 26.15</c:v>
                </c:pt>
                <c:pt idx="1">
                  <c:v>Check Now 26.16</c:v>
                </c:pt>
                <c:pt idx="2">
                  <c:v>Check Now 26.17</c:v>
                </c:pt>
              </c:strCache>
            </c:strRef>
          </c:cat>
          <c:val>
            <c:numRef>
              <c:f>'Kpi Indicators Per Team'!$N$40:$P$40</c:f>
              <c:numCache>
                <c:formatCode>0%</c:formatCode>
                <c:ptCount val="3"/>
                <c:pt idx="0">
                  <c:v>3.3333333333333333E-2</c:v>
                </c:pt>
                <c:pt idx="1">
                  <c:v>9.6774193548387094E-2</c:v>
                </c:pt>
                <c:pt idx="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95-BE47-ABD6-B34CFDA50243}"/>
            </c:ext>
          </c:extLst>
        </c:ser>
        <c:ser>
          <c:idx val="2"/>
          <c:order val="2"/>
          <c:tx>
            <c:strRef>
              <c:f>'Kpi Indicators Per Team'!$M$41</c:f>
              <c:strCache>
                <c:ptCount val="1"/>
                <c:pt idx="0">
                  <c:v>Front 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'Kpi Indicators Per Team'!$N$38:$P$38</c:f>
              <c:strCache>
                <c:ptCount val="3"/>
                <c:pt idx="0">
                  <c:v>Check Now 26.15</c:v>
                </c:pt>
                <c:pt idx="1">
                  <c:v>Check Now 26.16</c:v>
                </c:pt>
                <c:pt idx="2">
                  <c:v>Check Now 26.17</c:v>
                </c:pt>
              </c:strCache>
            </c:strRef>
          </c:cat>
          <c:val>
            <c:numRef>
              <c:f>'Kpi Indicators Per Team'!$N$41:$P$41</c:f>
              <c:numCache>
                <c:formatCode>0%</c:formatCode>
                <c:ptCount val="3"/>
                <c:pt idx="0">
                  <c:v>8.3333333333333329E-2</c:v>
                </c:pt>
                <c:pt idx="1">
                  <c:v>4.807692307692308E-2</c:v>
                </c:pt>
                <c:pt idx="2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95-BE47-ABD6-B34CFDA50243}"/>
            </c:ext>
          </c:extLst>
        </c:ser>
        <c:ser>
          <c:idx val="3"/>
          <c:order val="3"/>
          <c:tx>
            <c:strRef>
              <c:f>'Kpi Indicators Per Team'!$M$42</c:f>
              <c:strCache>
                <c:ptCount val="1"/>
                <c:pt idx="0">
                  <c:v>Testing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'Kpi Indicators Per Team'!$N$38:$P$38</c:f>
              <c:strCache>
                <c:ptCount val="3"/>
                <c:pt idx="0">
                  <c:v>Check Now 26.15</c:v>
                </c:pt>
                <c:pt idx="1">
                  <c:v>Check Now 26.16</c:v>
                </c:pt>
                <c:pt idx="2">
                  <c:v>Check Now 26.17</c:v>
                </c:pt>
              </c:strCache>
            </c:strRef>
          </c:cat>
          <c:val>
            <c:numRef>
              <c:f>'Kpi Indicators Per Team'!$N$42:$P$42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95-BE47-ABD6-B34CFDA50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16845311"/>
        <c:axId val="716838591"/>
      </c:barChart>
      <c:catAx>
        <c:axId val="716845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  <c:crossAx val="716838591"/>
        <c:crosses val="autoZero"/>
        <c:auto val="1"/>
        <c:lblAlgn val="ctr"/>
        <c:lblOffset val="100"/>
        <c:noMultiLvlLbl val="0"/>
      </c:catAx>
      <c:valAx>
        <c:axId val="71683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Light" panose="020B0004020202020204" pitchFamily="34" charset="0"/>
                  <a:ea typeface="+mn-ea"/>
                  <a:cs typeface="+mn-cs"/>
                </a:defRPr>
              </a:pPr>
              <a:endParaRPr lang="en-E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  <c:crossAx val="71684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EG"/>
          </a:p>
        </c:txPr>
      </c:dTable>
      <c:spPr>
        <a:noFill/>
        <a:ln w="6350">
          <a:solidFill>
            <a:schemeClr val="accent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rgbClr val="FF0000"/>
      </a:solidFill>
      <a:round/>
    </a:ln>
    <a:effectLst/>
  </c:spPr>
  <c:txPr>
    <a:bodyPr/>
    <a:lstStyle/>
    <a:p>
      <a:pPr>
        <a:defRPr sz="900" b="0" i="0">
          <a:latin typeface="Aptos Light" panose="020B0004020202020204" pitchFamily="34" charset="0"/>
        </a:defRPr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image" Target="../media/image2.svg"/><Relationship Id="rId7" Type="http://schemas.openxmlformats.org/officeDocument/2006/relationships/chart" Target="../charts/chart11.xml"/><Relationship Id="rId2" Type="http://schemas.openxmlformats.org/officeDocument/2006/relationships/image" Target="../media/image1.png"/><Relationship Id="rId1" Type="http://schemas.openxmlformats.org/officeDocument/2006/relationships/chart" Target="../charts/chart7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25400</xdr:rowOff>
    </xdr:from>
    <xdr:to>
      <xdr:col>11</xdr:col>
      <xdr:colOff>635000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ACA92-ACC9-FC4A-8132-0D24D7083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706967</xdr:colOff>
      <xdr:row>1</xdr:row>
      <xdr:rowOff>33866</xdr:rowOff>
    </xdr:from>
    <xdr:to>
      <xdr:col>22</xdr:col>
      <xdr:colOff>503767</xdr:colOff>
      <xdr:row>24</xdr:row>
      <xdr:rowOff>46566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093207-E52C-3444-9D94-647B7B88A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16934</xdr:colOff>
      <xdr:row>24</xdr:row>
      <xdr:rowOff>118533</xdr:rowOff>
    </xdr:from>
    <xdr:to>
      <xdr:col>11</xdr:col>
      <xdr:colOff>639233</xdr:colOff>
      <xdr:row>47</xdr:row>
      <xdr:rowOff>131233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548863-C187-0A46-9C81-5DBC982CD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728132</xdr:colOff>
      <xdr:row>24</xdr:row>
      <xdr:rowOff>101600</xdr:rowOff>
    </xdr:from>
    <xdr:to>
      <xdr:col>22</xdr:col>
      <xdr:colOff>520700</xdr:colOff>
      <xdr:row>47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B737E3-6FA4-B448-B688-ED816A791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812800</xdr:colOff>
      <xdr:row>48</xdr:row>
      <xdr:rowOff>101601</xdr:rowOff>
    </xdr:from>
    <xdr:to>
      <xdr:col>11</xdr:col>
      <xdr:colOff>605366</xdr:colOff>
      <xdr:row>71</xdr:row>
      <xdr:rowOff>114301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2CB4F0-7BF3-F74E-82EF-844E4DD2D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63500</xdr:colOff>
      <xdr:row>1</xdr:row>
      <xdr:rowOff>139700</xdr:rowOff>
    </xdr:from>
    <xdr:to>
      <xdr:col>2</xdr:col>
      <xdr:colOff>84531</xdr:colOff>
      <xdr:row>3</xdr:row>
      <xdr:rowOff>12700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725E8F7C-EBFC-7042-BC2B-1F2B5623A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89000" y="330200"/>
          <a:ext cx="846531" cy="254000"/>
        </a:xfrm>
        <a:prstGeom prst="rect">
          <a:avLst/>
        </a:prstGeom>
      </xdr:spPr>
    </xdr:pic>
    <xdr:clientData/>
  </xdr:twoCellAnchor>
  <xdr:twoCellAnchor>
    <xdr:from>
      <xdr:col>11</xdr:col>
      <xdr:colOff>711200</xdr:colOff>
      <xdr:row>48</xdr:row>
      <xdr:rowOff>101600</xdr:rowOff>
    </xdr:from>
    <xdr:to>
      <xdr:col>22</xdr:col>
      <xdr:colOff>503767</xdr:colOff>
      <xdr:row>71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2BB585-1302-7E44-86A4-2CEC73B2F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139700</xdr:rowOff>
    </xdr:from>
    <xdr:to>
      <xdr:col>10</xdr:col>
      <xdr:colOff>482600</xdr:colOff>
      <xdr:row>25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E7B287-033E-714B-8598-A655F2BC2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114300</xdr:colOff>
      <xdr:row>0</xdr:row>
      <xdr:rowOff>172684</xdr:rowOff>
    </xdr:from>
    <xdr:to>
      <xdr:col>2</xdr:col>
      <xdr:colOff>25399</xdr:colOff>
      <xdr:row>2</xdr:row>
      <xdr:rowOff>12699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C414B0EA-9C25-BF4E-BA5C-8B52D5571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39800" y="172684"/>
          <a:ext cx="736599" cy="221015"/>
        </a:xfrm>
        <a:prstGeom prst="rect">
          <a:avLst/>
        </a:prstGeom>
      </xdr:spPr>
    </xdr:pic>
    <xdr:clientData/>
  </xdr:twoCellAnchor>
  <xdr:twoCellAnchor>
    <xdr:from>
      <xdr:col>10</xdr:col>
      <xdr:colOff>596900</xdr:colOff>
      <xdr:row>0</xdr:row>
      <xdr:rowOff>152400</xdr:rowOff>
    </xdr:from>
    <xdr:to>
      <xdr:col>20</xdr:col>
      <xdr:colOff>101600</xdr:colOff>
      <xdr:row>25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78B637-586F-544F-8A9D-9331BDB7B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10</xdr:col>
      <xdr:colOff>508000</xdr:colOff>
      <xdr:row>49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602E572-CFC2-514F-88C4-C9D2F8184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647700</xdr:colOff>
      <xdr:row>27</xdr:row>
      <xdr:rowOff>12700</xdr:rowOff>
    </xdr:from>
    <xdr:to>
      <xdr:col>20</xdr:col>
      <xdr:colOff>101600</xdr:colOff>
      <xdr:row>49</xdr:row>
      <xdr:rowOff>177800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5698EC0-59C7-4F4D-B6B7-630486D8A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812800</xdr:colOff>
      <xdr:row>50</xdr:row>
      <xdr:rowOff>114300</xdr:rowOff>
    </xdr:from>
    <xdr:to>
      <xdr:col>10</xdr:col>
      <xdr:colOff>482600</xdr:colOff>
      <xdr:row>73</xdr:row>
      <xdr:rowOff>25400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4C44870-7316-5948-9352-3BBFD59E0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635000</xdr:colOff>
      <xdr:row>50</xdr:row>
      <xdr:rowOff>101600</xdr:rowOff>
    </xdr:from>
    <xdr:to>
      <xdr:col>20</xdr:col>
      <xdr:colOff>88900</xdr:colOff>
      <xdr:row>73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B7DA0CC-5FAE-6842-9DD2-B6A1A58C7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CAD964-DCE6-2542-A5E1-46D0C50A5E7D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xelteam.visualstudio.com/CheckNow/_workitems/edit/247310/?view=edit" TargetMode="External"/><Relationship Id="rId21" Type="http://schemas.openxmlformats.org/officeDocument/2006/relationships/hyperlink" Target="https://youxelteam.visualstudio.com/CheckNow/_workitems/edit/250832/?view=edit" TargetMode="External"/><Relationship Id="rId42" Type="http://schemas.openxmlformats.org/officeDocument/2006/relationships/hyperlink" Target="https://youxelteam.visualstudio.com/CheckNow/_workitems/edit/247747/?view=edit" TargetMode="External"/><Relationship Id="rId63" Type="http://schemas.openxmlformats.org/officeDocument/2006/relationships/hyperlink" Target="https://youxelteam.visualstudio.com/CheckNow/_workitems/edit/244768/?view=edit" TargetMode="External"/><Relationship Id="rId84" Type="http://schemas.openxmlformats.org/officeDocument/2006/relationships/hyperlink" Target="https://youxelteam.visualstudio.com/CheckNow/_workitems/edit/244758/?view=edit" TargetMode="External"/><Relationship Id="rId138" Type="http://schemas.openxmlformats.org/officeDocument/2006/relationships/hyperlink" Target="https://youxelteam.visualstudio.com/CheckNow/_workitems/edit/252825/?view=edit" TargetMode="External"/><Relationship Id="rId159" Type="http://schemas.openxmlformats.org/officeDocument/2006/relationships/hyperlink" Target="https://youxelteam.visualstudio.com/CheckNow/_workitems/edit/252825/?view=edit" TargetMode="External"/><Relationship Id="rId170" Type="http://schemas.openxmlformats.org/officeDocument/2006/relationships/hyperlink" Target="https://youxelteam.visualstudio.com/CheckNow/_workitems/edit/263833/?view=edit" TargetMode="External"/><Relationship Id="rId107" Type="http://schemas.openxmlformats.org/officeDocument/2006/relationships/hyperlink" Target="https://youxelteam.visualstudio.com/CheckNow/_workitems/edit/247324/?view=edit" TargetMode="External"/><Relationship Id="rId11" Type="http://schemas.openxmlformats.org/officeDocument/2006/relationships/hyperlink" Target="https://youxelteam.visualstudio.com/CheckNow/_workitems/edit/250832/?view=edit" TargetMode="External"/><Relationship Id="rId32" Type="http://schemas.openxmlformats.org/officeDocument/2006/relationships/hyperlink" Target="https://youxelteam.visualstudio.com/CheckNow/_workitems/edit/250832/?view=edit" TargetMode="External"/><Relationship Id="rId53" Type="http://schemas.openxmlformats.org/officeDocument/2006/relationships/hyperlink" Target="https://youxelteam.visualstudio.com/CheckNow/_workitems/edit/244764/?view=edit" TargetMode="External"/><Relationship Id="rId74" Type="http://schemas.openxmlformats.org/officeDocument/2006/relationships/hyperlink" Target="https://youxelteam.visualstudio.com/CheckNow/_workitems/edit/244756/?view=edit" TargetMode="External"/><Relationship Id="rId128" Type="http://schemas.openxmlformats.org/officeDocument/2006/relationships/hyperlink" Target="https://youxelteam.visualstudio.com/CheckNow/_workitems/edit/264492/?view=edit" TargetMode="External"/><Relationship Id="rId149" Type="http://schemas.openxmlformats.org/officeDocument/2006/relationships/hyperlink" Target="https://youxelteam.visualstudio.com/CheckNow/_workitems/edit/252825/?view=edit" TargetMode="External"/><Relationship Id="rId5" Type="http://schemas.openxmlformats.org/officeDocument/2006/relationships/hyperlink" Target="https://youxelteam.visualstudio.com/CheckNow/_workitems/edit/233816/?view=edit" TargetMode="External"/><Relationship Id="rId95" Type="http://schemas.openxmlformats.org/officeDocument/2006/relationships/hyperlink" Target="https://youxelteam.visualstudio.com/CheckNow/_workitems/edit/247302/?view=edit" TargetMode="External"/><Relationship Id="rId160" Type="http://schemas.openxmlformats.org/officeDocument/2006/relationships/hyperlink" Target="https://youxelteam.visualstudio.com/CheckNow/_workitems/edit/252825/?view=edit" TargetMode="External"/><Relationship Id="rId22" Type="http://schemas.openxmlformats.org/officeDocument/2006/relationships/hyperlink" Target="https://youxelteam.visualstudio.com/CheckNow/_workitems/edit/250832/?view=edit" TargetMode="External"/><Relationship Id="rId43" Type="http://schemas.openxmlformats.org/officeDocument/2006/relationships/hyperlink" Target="https://youxelteam.visualstudio.com/CheckNow/_workitems/edit/247748/?view=edit" TargetMode="External"/><Relationship Id="rId64" Type="http://schemas.openxmlformats.org/officeDocument/2006/relationships/hyperlink" Target="https://youxelteam.visualstudio.com/CheckNow/_workitems/edit/244768/?view=edit" TargetMode="External"/><Relationship Id="rId118" Type="http://schemas.openxmlformats.org/officeDocument/2006/relationships/hyperlink" Target="https://youxelteam.visualstudio.com/CheckNow/_workitems/edit/247310/?view=edit" TargetMode="External"/><Relationship Id="rId139" Type="http://schemas.openxmlformats.org/officeDocument/2006/relationships/hyperlink" Target="https://youxelteam.visualstudio.com/CheckNow/_workitems/edit/252825/?view=edit" TargetMode="External"/><Relationship Id="rId85" Type="http://schemas.openxmlformats.org/officeDocument/2006/relationships/hyperlink" Target="https://youxelteam.visualstudio.com/CheckNow/_workitems/edit/244758/?view=edit" TargetMode="External"/><Relationship Id="rId150" Type="http://schemas.openxmlformats.org/officeDocument/2006/relationships/hyperlink" Target="https://youxelteam.visualstudio.com/CheckNow/_workitems/edit/252825/?view=edit" TargetMode="External"/><Relationship Id="rId171" Type="http://schemas.openxmlformats.org/officeDocument/2006/relationships/hyperlink" Target="https://youxelteam.visualstudio.com/CheckNow/_workitems/edit/263833/?view=edit" TargetMode="External"/><Relationship Id="rId12" Type="http://schemas.openxmlformats.org/officeDocument/2006/relationships/hyperlink" Target="https://youxelteam.visualstudio.com/CheckNow/_workitems/edit/250832/?view=edit" TargetMode="External"/><Relationship Id="rId33" Type="http://schemas.openxmlformats.org/officeDocument/2006/relationships/hyperlink" Target="https://youxelteam.visualstudio.com/CheckNow/_workitems/edit/250832/?view=edit" TargetMode="External"/><Relationship Id="rId108" Type="http://schemas.openxmlformats.org/officeDocument/2006/relationships/hyperlink" Target="https://youxelteam.visualstudio.com/CheckNow/_workitems/edit/247323/?view=edit" TargetMode="External"/><Relationship Id="rId129" Type="http://schemas.openxmlformats.org/officeDocument/2006/relationships/hyperlink" Target="https://youxelteam.visualstudio.com/CheckNow/_workitems/edit/264492/?view=edit" TargetMode="External"/><Relationship Id="rId54" Type="http://schemas.openxmlformats.org/officeDocument/2006/relationships/hyperlink" Target="https://youxelteam.visualstudio.com/CheckNow/_workitems/edit/244764/?view=edit" TargetMode="External"/><Relationship Id="rId70" Type="http://schemas.openxmlformats.org/officeDocument/2006/relationships/hyperlink" Target="https://youxelteam.visualstudio.com/CheckNow/_workitems/edit/244772/?view=edit" TargetMode="External"/><Relationship Id="rId75" Type="http://schemas.openxmlformats.org/officeDocument/2006/relationships/hyperlink" Target="https://youxelteam.visualstudio.com/CheckNow/_workitems/edit/244761/?view=edit" TargetMode="External"/><Relationship Id="rId91" Type="http://schemas.openxmlformats.org/officeDocument/2006/relationships/hyperlink" Target="https://youxelteam.visualstudio.com/CheckNow/_workitems/edit/263834/?view=edit" TargetMode="External"/><Relationship Id="rId96" Type="http://schemas.openxmlformats.org/officeDocument/2006/relationships/hyperlink" Target="https://youxelteam.visualstudio.com/CheckNow/_workitems/edit/247302/?view=edit" TargetMode="External"/><Relationship Id="rId140" Type="http://schemas.openxmlformats.org/officeDocument/2006/relationships/hyperlink" Target="https://youxelteam.visualstudio.com/CheckNow/_workitems/edit/252825/?view=edit" TargetMode="External"/><Relationship Id="rId145" Type="http://schemas.openxmlformats.org/officeDocument/2006/relationships/hyperlink" Target="https://youxelteam.visualstudio.com/CheckNow/_workitems/edit/252825/?view=edit" TargetMode="External"/><Relationship Id="rId161" Type="http://schemas.openxmlformats.org/officeDocument/2006/relationships/hyperlink" Target="https://youxelteam.visualstudio.com/CheckNow/_workitems/edit/252825/?view=edit" TargetMode="External"/><Relationship Id="rId166" Type="http://schemas.openxmlformats.org/officeDocument/2006/relationships/hyperlink" Target="https://youxelteam.visualstudio.com/CheckNow/_workitems/edit/263833/?view=edit" TargetMode="External"/><Relationship Id="rId1" Type="http://schemas.openxmlformats.org/officeDocument/2006/relationships/hyperlink" Target="https://youxelteam.visualstudio.com/CheckNow/_workitems/edit/260177/?view=edit" TargetMode="External"/><Relationship Id="rId6" Type="http://schemas.openxmlformats.org/officeDocument/2006/relationships/hyperlink" Target="https://youxelteam.visualstudio.com/CheckNow/_workitems/edit/233934/?view=edit" TargetMode="External"/><Relationship Id="rId23" Type="http://schemas.openxmlformats.org/officeDocument/2006/relationships/hyperlink" Target="https://youxelteam.visualstudio.com/CheckNow/_workitems/edit/250832/?view=edit" TargetMode="External"/><Relationship Id="rId28" Type="http://schemas.openxmlformats.org/officeDocument/2006/relationships/hyperlink" Target="https://youxelteam.visualstudio.com/CheckNow/_workitems/edit/250832/?view=edit" TargetMode="External"/><Relationship Id="rId49" Type="http://schemas.openxmlformats.org/officeDocument/2006/relationships/hyperlink" Target="https://youxelteam.visualstudio.com/CheckNow/_workitems/edit/244767/?view=edit" TargetMode="External"/><Relationship Id="rId114" Type="http://schemas.openxmlformats.org/officeDocument/2006/relationships/hyperlink" Target="https://youxelteam.visualstudio.com/CheckNow/_workitems/edit/247312/?view=edit" TargetMode="External"/><Relationship Id="rId119" Type="http://schemas.openxmlformats.org/officeDocument/2006/relationships/hyperlink" Target="https://youxelteam.visualstudio.com/CheckNow/_workitems/edit/247319/?view=edit" TargetMode="External"/><Relationship Id="rId44" Type="http://schemas.openxmlformats.org/officeDocument/2006/relationships/hyperlink" Target="https://youxelteam.visualstudio.com/CheckNow/_workitems/edit/247748/?view=edit" TargetMode="External"/><Relationship Id="rId60" Type="http://schemas.openxmlformats.org/officeDocument/2006/relationships/hyperlink" Target="https://youxelteam.visualstudio.com/CheckNow/_workitems/edit/242629/?view=edit" TargetMode="External"/><Relationship Id="rId65" Type="http://schemas.openxmlformats.org/officeDocument/2006/relationships/hyperlink" Target="https://youxelteam.visualstudio.com/CheckNow/_workitems/edit/244768/?view=edit" TargetMode="External"/><Relationship Id="rId81" Type="http://schemas.openxmlformats.org/officeDocument/2006/relationships/hyperlink" Target="https://youxelteam.visualstudio.com/CheckNow/_workitems/edit/244757/?view=edit" TargetMode="External"/><Relationship Id="rId86" Type="http://schemas.openxmlformats.org/officeDocument/2006/relationships/hyperlink" Target="https://youxelteam.visualstudio.com/CheckNow/_workitems/edit/263534/?view=edit" TargetMode="External"/><Relationship Id="rId130" Type="http://schemas.openxmlformats.org/officeDocument/2006/relationships/hyperlink" Target="https://youxelteam.visualstudio.com/CheckNow/_workitems/edit/264492/?view=edit" TargetMode="External"/><Relationship Id="rId135" Type="http://schemas.openxmlformats.org/officeDocument/2006/relationships/hyperlink" Target="https://youxelteam.visualstudio.com/CheckNow/_workitems/edit/252825/?view=edit" TargetMode="External"/><Relationship Id="rId151" Type="http://schemas.openxmlformats.org/officeDocument/2006/relationships/hyperlink" Target="https://youxelteam.visualstudio.com/CheckNow/_workitems/edit/252825/?view=edit" TargetMode="External"/><Relationship Id="rId156" Type="http://schemas.openxmlformats.org/officeDocument/2006/relationships/hyperlink" Target="https://youxelteam.visualstudio.com/CheckNow/_workitems/edit/252825/?view=edit" TargetMode="External"/><Relationship Id="rId172" Type="http://schemas.openxmlformats.org/officeDocument/2006/relationships/hyperlink" Target="https://youxelteam.visualstudio.com/CheckNow/_workitems/edit/263833/?view=edit" TargetMode="External"/><Relationship Id="rId13" Type="http://schemas.openxmlformats.org/officeDocument/2006/relationships/hyperlink" Target="https://youxelteam.visualstudio.com/CheckNow/_workitems/edit/250832/?view=edit" TargetMode="External"/><Relationship Id="rId18" Type="http://schemas.openxmlformats.org/officeDocument/2006/relationships/hyperlink" Target="https://youxelteam.visualstudio.com/CheckNow/_workitems/edit/250832/?view=edit" TargetMode="External"/><Relationship Id="rId39" Type="http://schemas.openxmlformats.org/officeDocument/2006/relationships/hyperlink" Target="https://youxelteam.visualstudio.com/CheckNow/_workitems/edit/242628/?view=edit" TargetMode="External"/><Relationship Id="rId109" Type="http://schemas.openxmlformats.org/officeDocument/2006/relationships/hyperlink" Target="https://youxelteam.visualstudio.com/CheckNow/_workitems/edit/247308/?view=edit" TargetMode="External"/><Relationship Id="rId34" Type="http://schemas.openxmlformats.org/officeDocument/2006/relationships/hyperlink" Target="https://youxelteam.visualstudio.com/CheckNow/_workitems/edit/242628/?view=edit" TargetMode="External"/><Relationship Id="rId50" Type="http://schemas.openxmlformats.org/officeDocument/2006/relationships/hyperlink" Target="https://youxelteam.visualstudio.com/CheckNow/_workitems/edit/244767/?view=edit" TargetMode="External"/><Relationship Id="rId55" Type="http://schemas.openxmlformats.org/officeDocument/2006/relationships/hyperlink" Target="https://youxelteam.visualstudio.com/CheckNow/_workitems/edit/244770/?view=edit" TargetMode="External"/><Relationship Id="rId76" Type="http://schemas.openxmlformats.org/officeDocument/2006/relationships/hyperlink" Target="https://youxelteam.visualstudio.com/CheckNow/_workitems/edit/244761/?view=edit" TargetMode="External"/><Relationship Id="rId97" Type="http://schemas.openxmlformats.org/officeDocument/2006/relationships/hyperlink" Target="https://youxelteam.visualstudio.com/CheckNow/_workitems/edit/253676/?view=edit" TargetMode="External"/><Relationship Id="rId104" Type="http://schemas.openxmlformats.org/officeDocument/2006/relationships/hyperlink" Target="https://youxelteam.visualstudio.com/CheckNow/_workitems/edit/247306/?view=edit" TargetMode="External"/><Relationship Id="rId120" Type="http://schemas.openxmlformats.org/officeDocument/2006/relationships/hyperlink" Target="https://youxelteam.visualstudio.com/CheckNow/_workitems/edit/247311/?view=edit" TargetMode="External"/><Relationship Id="rId125" Type="http://schemas.openxmlformats.org/officeDocument/2006/relationships/hyperlink" Target="https://youxelteam.visualstudio.com/CheckNow/_workitems/edit/264492/?view=edit" TargetMode="External"/><Relationship Id="rId141" Type="http://schemas.openxmlformats.org/officeDocument/2006/relationships/hyperlink" Target="https://youxelteam.visualstudio.com/CheckNow/_workitems/edit/252825/?view=edit" TargetMode="External"/><Relationship Id="rId146" Type="http://schemas.openxmlformats.org/officeDocument/2006/relationships/hyperlink" Target="https://youxelteam.visualstudio.com/CheckNow/_workitems/edit/252825/?view=edit" TargetMode="External"/><Relationship Id="rId167" Type="http://schemas.openxmlformats.org/officeDocument/2006/relationships/hyperlink" Target="https://youxelteam.visualstudio.com/CheckNow/_workitems/edit/263833/?view=edit" TargetMode="External"/><Relationship Id="rId7" Type="http://schemas.openxmlformats.org/officeDocument/2006/relationships/hyperlink" Target="https://youxelteam.visualstudio.com/CheckNow/_workitems/edit/255495/?view=edit" TargetMode="External"/><Relationship Id="rId71" Type="http://schemas.openxmlformats.org/officeDocument/2006/relationships/hyperlink" Target="https://youxelteam.visualstudio.com/CheckNow/_workitems/edit/244772/?view=edit" TargetMode="External"/><Relationship Id="rId92" Type="http://schemas.openxmlformats.org/officeDocument/2006/relationships/hyperlink" Target="https://youxelteam.visualstudio.com/CheckNow/_workitems/edit/263834/?view=edit" TargetMode="External"/><Relationship Id="rId162" Type="http://schemas.openxmlformats.org/officeDocument/2006/relationships/hyperlink" Target="https://youxelteam.visualstudio.com/CheckNow/_workitems/edit/262102/?view=edit" TargetMode="External"/><Relationship Id="rId2" Type="http://schemas.openxmlformats.org/officeDocument/2006/relationships/hyperlink" Target="https://youxelteam.visualstudio.com/CheckNow/_workitems/edit/260177/?view=edit" TargetMode="External"/><Relationship Id="rId29" Type="http://schemas.openxmlformats.org/officeDocument/2006/relationships/hyperlink" Target="https://youxelteam.visualstudio.com/CheckNow/_workitems/edit/250832/?view=edit" TargetMode="External"/><Relationship Id="rId24" Type="http://schemas.openxmlformats.org/officeDocument/2006/relationships/hyperlink" Target="https://youxelteam.visualstudio.com/CheckNow/_workitems/edit/250832/?view=edit" TargetMode="External"/><Relationship Id="rId40" Type="http://schemas.openxmlformats.org/officeDocument/2006/relationships/hyperlink" Target="https://youxelteam.visualstudio.com/CheckNow/_workitems/edit/242628/?view=edit" TargetMode="External"/><Relationship Id="rId45" Type="http://schemas.openxmlformats.org/officeDocument/2006/relationships/hyperlink" Target="https://youxelteam.visualstudio.com/CheckNow/_workitems/edit/244767/?view=edit" TargetMode="External"/><Relationship Id="rId66" Type="http://schemas.openxmlformats.org/officeDocument/2006/relationships/hyperlink" Target="https://youxelteam.visualstudio.com/CheckNow/_workitems/edit/244768/?view=edit" TargetMode="External"/><Relationship Id="rId87" Type="http://schemas.openxmlformats.org/officeDocument/2006/relationships/hyperlink" Target="https://youxelteam.visualstudio.com/CheckNow/_workitems/edit/263534/?view=edit" TargetMode="External"/><Relationship Id="rId110" Type="http://schemas.openxmlformats.org/officeDocument/2006/relationships/hyperlink" Target="https://youxelteam.visualstudio.com/CheckNow/_workitems/edit/247315/?view=edit" TargetMode="External"/><Relationship Id="rId115" Type="http://schemas.openxmlformats.org/officeDocument/2006/relationships/hyperlink" Target="https://youxelteam.visualstudio.com/CheckNow/_workitems/edit/247312/?view=edit" TargetMode="External"/><Relationship Id="rId131" Type="http://schemas.openxmlformats.org/officeDocument/2006/relationships/hyperlink" Target="https://youxelteam.visualstudio.com/CheckNow/_workitems/edit/264494/?view=edit" TargetMode="External"/><Relationship Id="rId136" Type="http://schemas.openxmlformats.org/officeDocument/2006/relationships/hyperlink" Target="https://youxelteam.visualstudio.com/CheckNow/_workitems/edit/252825/?view=edit" TargetMode="External"/><Relationship Id="rId157" Type="http://schemas.openxmlformats.org/officeDocument/2006/relationships/hyperlink" Target="https://youxelteam.visualstudio.com/CheckNow/_workitems/edit/252825/?view=edit" TargetMode="External"/><Relationship Id="rId61" Type="http://schemas.openxmlformats.org/officeDocument/2006/relationships/hyperlink" Target="https://youxelteam.visualstudio.com/CheckNow/_workitems/edit/244768/?view=edit" TargetMode="External"/><Relationship Id="rId82" Type="http://schemas.openxmlformats.org/officeDocument/2006/relationships/hyperlink" Target="https://youxelteam.visualstudio.com/CheckNow/_workitems/edit/244757/?view=edit" TargetMode="External"/><Relationship Id="rId152" Type="http://schemas.openxmlformats.org/officeDocument/2006/relationships/hyperlink" Target="https://youxelteam.visualstudio.com/CheckNow/_workitems/edit/252825/?view=edit" TargetMode="External"/><Relationship Id="rId19" Type="http://schemas.openxmlformats.org/officeDocument/2006/relationships/hyperlink" Target="https://youxelteam.visualstudio.com/CheckNow/_workitems/edit/250832/?view=edit" TargetMode="External"/><Relationship Id="rId14" Type="http://schemas.openxmlformats.org/officeDocument/2006/relationships/hyperlink" Target="https://youxelteam.visualstudio.com/CheckNow/_workitems/edit/250832/?view=edit" TargetMode="External"/><Relationship Id="rId30" Type="http://schemas.openxmlformats.org/officeDocument/2006/relationships/hyperlink" Target="https://youxelteam.visualstudio.com/CheckNow/_workitems/edit/250832/?view=edit" TargetMode="External"/><Relationship Id="rId35" Type="http://schemas.openxmlformats.org/officeDocument/2006/relationships/hyperlink" Target="https://youxelteam.visualstudio.com/CheckNow/_workitems/edit/242628/?view=edit" TargetMode="External"/><Relationship Id="rId56" Type="http://schemas.openxmlformats.org/officeDocument/2006/relationships/hyperlink" Target="https://youxelteam.visualstudio.com/CheckNow/_workitems/edit/244770/?view=edit" TargetMode="External"/><Relationship Id="rId77" Type="http://schemas.openxmlformats.org/officeDocument/2006/relationships/hyperlink" Target="https://youxelteam.visualstudio.com/CheckNow/_workitems/edit/244761/?view=edit" TargetMode="External"/><Relationship Id="rId100" Type="http://schemas.openxmlformats.org/officeDocument/2006/relationships/hyperlink" Target="https://youxelteam.visualstudio.com/CheckNow/_workitems/edit/253676/?view=edit" TargetMode="External"/><Relationship Id="rId105" Type="http://schemas.openxmlformats.org/officeDocument/2006/relationships/hyperlink" Target="https://youxelteam.visualstudio.com/CheckNow/_workitems/edit/247322/?view=edit" TargetMode="External"/><Relationship Id="rId126" Type="http://schemas.openxmlformats.org/officeDocument/2006/relationships/hyperlink" Target="https://youxelteam.visualstudio.com/CheckNow/_workitems/edit/264492/?view=edit" TargetMode="External"/><Relationship Id="rId147" Type="http://schemas.openxmlformats.org/officeDocument/2006/relationships/hyperlink" Target="https://youxelteam.visualstudio.com/CheckNow/_workitems/edit/252825/?view=edit" TargetMode="External"/><Relationship Id="rId168" Type="http://schemas.openxmlformats.org/officeDocument/2006/relationships/hyperlink" Target="https://youxelteam.visualstudio.com/CheckNow/_workitems/edit/263833/?view=edit" TargetMode="External"/><Relationship Id="rId8" Type="http://schemas.openxmlformats.org/officeDocument/2006/relationships/hyperlink" Target="https://youxelteam.visualstudio.com/CheckNow/_workitems/edit/255495/?view=edit" TargetMode="External"/><Relationship Id="rId51" Type="http://schemas.openxmlformats.org/officeDocument/2006/relationships/hyperlink" Target="https://youxelteam.visualstudio.com/CheckNow/_workitems/edit/244767/?view=edit" TargetMode="External"/><Relationship Id="rId72" Type="http://schemas.openxmlformats.org/officeDocument/2006/relationships/hyperlink" Target="https://youxelteam.visualstudio.com/CheckNow/_workitems/edit/244756/?view=edit" TargetMode="External"/><Relationship Id="rId93" Type="http://schemas.openxmlformats.org/officeDocument/2006/relationships/hyperlink" Target="https://youxelteam.visualstudio.com/CheckNow/_workitems/edit/264506/?view=edit" TargetMode="External"/><Relationship Id="rId98" Type="http://schemas.openxmlformats.org/officeDocument/2006/relationships/hyperlink" Target="https://youxelteam.visualstudio.com/CheckNow/_workitems/edit/253676/?view=edit" TargetMode="External"/><Relationship Id="rId121" Type="http://schemas.openxmlformats.org/officeDocument/2006/relationships/hyperlink" Target="https://youxelteam.visualstudio.com/CheckNow/_workitems/edit/252836/?view=edit" TargetMode="External"/><Relationship Id="rId142" Type="http://schemas.openxmlformats.org/officeDocument/2006/relationships/hyperlink" Target="https://youxelteam.visualstudio.com/CheckNow/_workitems/edit/252825/?view=edit" TargetMode="External"/><Relationship Id="rId163" Type="http://schemas.openxmlformats.org/officeDocument/2006/relationships/hyperlink" Target="https://youxelteam.visualstudio.com/CheckNow/_workitems/edit/260487/?view=edit" TargetMode="External"/><Relationship Id="rId3" Type="http://schemas.openxmlformats.org/officeDocument/2006/relationships/hyperlink" Target="https://youxelteam.visualstudio.com/CheckNow/_workitems/edit/251892/?view=edit" TargetMode="External"/><Relationship Id="rId25" Type="http://schemas.openxmlformats.org/officeDocument/2006/relationships/hyperlink" Target="https://youxelteam.visualstudio.com/CheckNow/_workitems/edit/250832/?view=edit" TargetMode="External"/><Relationship Id="rId46" Type="http://schemas.openxmlformats.org/officeDocument/2006/relationships/hyperlink" Target="https://youxelteam.visualstudio.com/CheckNow/_workitems/edit/244767/?view=edit" TargetMode="External"/><Relationship Id="rId67" Type="http://schemas.openxmlformats.org/officeDocument/2006/relationships/hyperlink" Target="https://youxelteam.visualstudio.com/CheckNow/_workitems/edit/244768/?view=edit" TargetMode="External"/><Relationship Id="rId116" Type="http://schemas.openxmlformats.org/officeDocument/2006/relationships/hyperlink" Target="https://youxelteam.visualstudio.com/CheckNow/_workitems/edit/247310/?view=edit" TargetMode="External"/><Relationship Id="rId137" Type="http://schemas.openxmlformats.org/officeDocument/2006/relationships/hyperlink" Target="https://youxelteam.visualstudio.com/CheckNow/_workitems/edit/252825/?view=edit" TargetMode="External"/><Relationship Id="rId158" Type="http://schemas.openxmlformats.org/officeDocument/2006/relationships/hyperlink" Target="https://youxelteam.visualstudio.com/CheckNow/_workitems/edit/252825/?view=edit" TargetMode="External"/><Relationship Id="rId20" Type="http://schemas.openxmlformats.org/officeDocument/2006/relationships/hyperlink" Target="https://youxelteam.visualstudio.com/CheckNow/_workitems/edit/250832/?view=edit" TargetMode="External"/><Relationship Id="rId41" Type="http://schemas.openxmlformats.org/officeDocument/2006/relationships/hyperlink" Target="https://youxelteam.visualstudio.com/CheckNow/_workitems/edit/247747/?view=edit" TargetMode="External"/><Relationship Id="rId62" Type="http://schemas.openxmlformats.org/officeDocument/2006/relationships/hyperlink" Target="https://youxelteam.visualstudio.com/CheckNow/_workitems/edit/244768/?view=edit" TargetMode="External"/><Relationship Id="rId83" Type="http://schemas.openxmlformats.org/officeDocument/2006/relationships/hyperlink" Target="https://youxelteam.visualstudio.com/CheckNow/_workitems/edit/244758/?view=edit" TargetMode="External"/><Relationship Id="rId88" Type="http://schemas.openxmlformats.org/officeDocument/2006/relationships/hyperlink" Target="https://youxelteam.visualstudio.com/CheckNow/_workitems/edit/263534/?view=edit" TargetMode="External"/><Relationship Id="rId111" Type="http://schemas.openxmlformats.org/officeDocument/2006/relationships/hyperlink" Target="https://youxelteam.visualstudio.com/CheckNow/_workitems/edit/247313/?view=edit" TargetMode="External"/><Relationship Id="rId132" Type="http://schemas.openxmlformats.org/officeDocument/2006/relationships/hyperlink" Target="https://youxelteam.visualstudio.com/CheckNow/_workitems/edit/264494/?view=edit" TargetMode="External"/><Relationship Id="rId153" Type="http://schemas.openxmlformats.org/officeDocument/2006/relationships/hyperlink" Target="https://youxelteam.visualstudio.com/CheckNow/_workitems/edit/252825/?view=edit" TargetMode="External"/><Relationship Id="rId15" Type="http://schemas.openxmlformats.org/officeDocument/2006/relationships/hyperlink" Target="https://youxelteam.visualstudio.com/CheckNow/_workitems/edit/250832/?view=edit" TargetMode="External"/><Relationship Id="rId36" Type="http://schemas.openxmlformats.org/officeDocument/2006/relationships/hyperlink" Target="https://youxelteam.visualstudio.com/CheckNow/_workitems/edit/242628/?view=edit" TargetMode="External"/><Relationship Id="rId57" Type="http://schemas.openxmlformats.org/officeDocument/2006/relationships/hyperlink" Target="https://youxelteam.visualstudio.com/CheckNow/_workitems/edit/242629/?view=edit" TargetMode="External"/><Relationship Id="rId106" Type="http://schemas.openxmlformats.org/officeDocument/2006/relationships/hyperlink" Target="https://youxelteam.visualstudio.com/CheckNow/_workitems/edit/247321/?view=edit" TargetMode="External"/><Relationship Id="rId127" Type="http://schemas.openxmlformats.org/officeDocument/2006/relationships/hyperlink" Target="https://youxelteam.visualstudio.com/CheckNow/_workitems/edit/264492/?view=edit" TargetMode="External"/><Relationship Id="rId10" Type="http://schemas.openxmlformats.org/officeDocument/2006/relationships/hyperlink" Target="https://youxelteam.visualstudio.com/CheckNow/_workitems/edit/250832/?view=edit" TargetMode="External"/><Relationship Id="rId31" Type="http://schemas.openxmlformats.org/officeDocument/2006/relationships/hyperlink" Target="https://youxelteam.visualstudio.com/CheckNow/_workitems/edit/250832/?view=edit" TargetMode="External"/><Relationship Id="rId52" Type="http://schemas.openxmlformats.org/officeDocument/2006/relationships/hyperlink" Target="https://youxelteam.visualstudio.com/CheckNow/_workitems/edit/244767/?view=edit" TargetMode="External"/><Relationship Id="rId73" Type="http://schemas.openxmlformats.org/officeDocument/2006/relationships/hyperlink" Target="https://youxelteam.visualstudio.com/CheckNow/_workitems/edit/244756/?view=edit" TargetMode="External"/><Relationship Id="rId78" Type="http://schemas.openxmlformats.org/officeDocument/2006/relationships/hyperlink" Target="https://youxelteam.visualstudio.com/CheckNow/_workitems/edit/244761/?view=edit" TargetMode="External"/><Relationship Id="rId94" Type="http://schemas.openxmlformats.org/officeDocument/2006/relationships/hyperlink" Target="https://youxelteam.visualstudio.com/CheckNow/_workitems/edit/264506/?view=edit" TargetMode="External"/><Relationship Id="rId99" Type="http://schemas.openxmlformats.org/officeDocument/2006/relationships/hyperlink" Target="https://youxelteam.visualstudio.com/CheckNow/_workitems/edit/253676/?view=edit" TargetMode="External"/><Relationship Id="rId101" Type="http://schemas.openxmlformats.org/officeDocument/2006/relationships/hyperlink" Target="https://youxelteam.visualstudio.com/CheckNow/_workitems/edit/247303/?view=edit" TargetMode="External"/><Relationship Id="rId122" Type="http://schemas.openxmlformats.org/officeDocument/2006/relationships/hyperlink" Target="https://youxelteam.visualstudio.com/CheckNow/_workitems/edit/252836/?view=edit" TargetMode="External"/><Relationship Id="rId143" Type="http://schemas.openxmlformats.org/officeDocument/2006/relationships/hyperlink" Target="https://youxelteam.visualstudio.com/CheckNow/_workitems/edit/252825/?view=edit" TargetMode="External"/><Relationship Id="rId148" Type="http://schemas.openxmlformats.org/officeDocument/2006/relationships/hyperlink" Target="https://youxelteam.visualstudio.com/CheckNow/_workitems/edit/252825/?view=edit" TargetMode="External"/><Relationship Id="rId164" Type="http://schemas.openxmlformats.org/officeDocument/2006/relationships/hyperlink" Target="https://youxelteam.visualstudio.com/CheckNow/_workitems/edit/263833/?view=edit" TargetMode="External"/><Relationship Id="rId169" Type="http://schemas.openxmlformats.org/officeDocument/2006/relationships/hyperlink" Target="https://youxelteam.visualstudio.com/CheckNow/_workitems/edit/263833/?view=edit" TargetMode="External"/><Relationship Id="rId4" Type="http://schemas.openxmlformats.org/officeDocument/2006/relationships/hyperlink" Target="https://youxelteam.visualstudio.com/CheckNow/_workitems/edit/251892/?view=edit" TargetMode="External"/><Relationship Id="rId9" Type="http://schemas.openxmlformats.org/officeDocument/2006/relationships/hyperlink" Target="https://youxelteam.visualstudio.com/CheckNow/_workitems/edit/250832/?view=edit" TargetMode="External"/><Relationship Id="rId26" Type="http://schemas.openxmlformats.org/officeDocument/2006/relationships/hyperlink" Target="https://youxelteam.visualstudio.com/CheckNow/_workitems/edit/250832/?view=edit" TargetMode="External"/><Relationship Id="rId47" Type="http://schemas.openxmlformats.org/officeDocument/2006/relationships/hyperlink" Target="https://youxelteam.visualstudio.com/CheckNow/_workitems/edit/244767/?view=edit" TargetMode="External"/><Relationship Id="rId68" Type="http://schemas.openxmlformats.org/officeDocument/2006/relationships/hyperlink" Target="https://youxelteam.visualstudio.com/CheckNow/_workitems/edit/244768/?view=edit" TargetMode="External"/><Relationship Id="rId89" Type="http://schemas.openxmlformats.org/officeDocument/2006/relationships/hyperlink" Target="https://youxelteam.visualstudio.com/CheckNow/_workitems/edit/263834/?view=edit" TargetMode="External"/><Relationship Id="rId112" Type="http://schemas.openxmlformats.org/officeDocument/2006/relationships/hyperlink" Target="https://youxelteam.visualstudio.com/CheckNow/_workitems/edit/247314/?view=edit" TargetMode="External"/><Relationship Id="rId133" Type="http://schemas.openxmlformats.org/officeDocument/2006/relationships/hyperlink" Target="https://youxelteam.visualstudio.com/CheckNow/_workitems/edit/252825/?view=edit" TargetMode="External"/><Relationship Id="rId154" Type="http://schemas.openxmlformats.org/officeDocument/2006/relationships/hyperlink" Target="https://youxelteam.visualstudio.com/CheckNow/_workitems/edit/252825/?view=edit" TargetMode="External"/><Relationship Id="rId16" Type="http://schemas.openxmlformats.org/officeDocument/2006/relationships/hyperlink" Target="https://youxelteam.visualstudio.com/CheckNow/_workitems/edit/250832/?view=edit" TargetMode="External"/><Relationship Id="rId37" Type="http://schemas.openxmlformats.org/officeDocument/2006/relationships/hyperlink" Target="https://youxelteam.visualstudio.com/CheckNow/_workitems/edit/242628/?view=edit" TargetMode="External"/><Relationship Id="rId58" Type="http://schemas.openxmlformats.org/officeDocument/2006/relationships/hyperlink" Target="https://youxelteam.visualstudio.com/CheckNow/_workitems/edit/242629/?view=edit" TargetMode="External"/><Relationship Id="rId79" Type="http://schemas.openxmlformats.org/officeDocument/2006/relationships/hyperlink" Target="https://youxelteam.visualstudio.com/CheckNow/_workitems/edit/244761/?view=edit" TargetMode="External"/><Relationship Id="rId102" Type="http://schemas.openxmlformats.org/officeDocument/2006/relationships/hyperlink" Target="https://youxelteam.visualstudio.com/CheckNow/_workitems/edit/247304/?view=edit" TargetMode="External"/><Relationship Id="rId123" Type="http://schemas.openxmlformats.org/officeDocument/2006/relationships/hyperlink" Target="https://youxelteam.visualstudio.com/CheckNow/_workitems/edit/252836/?view=edit" TargetMode="External"/><Relationship Id="rId144" Type="http://schemas.openxmlformats.org/officeDocument/2006/relationships/hyperlink" Target="https://youxelteam.visualstudio.com/CheckNow/_workitems/edit/252825/?view=edit" TargetMode="External"/><Relationship Id="rId90" Type="http://schemas.openxmlformats.org/officeDocument/2006/relationships/hyperlink" Target="https://youxelteam.visualstudio.com/CheckNow/_workitems/edit/263834/?view=edit" TargetMode="External"/><Relationship Id="rId165" Type="http://schemas.openxmlformats.org/officeDocument/2006/relationships/hyperlink" Target="https://youxelteam.visualstudio.com/CheckNow/_workitems/edit/263833/?view=edit" TargetMode="External"/><Relationship Id="rId27" Type="http://schemas.openxmlformats.org/officeDocument/2006/relationships/hyperlink" Target="https://youxelteam.visualstudio.com/CheckNow/_workitems/edit/250832/?view=edit" TargetMode="External"/><Relationship Id="rId48" Type="http://schemas.openxmlformats.org/officeDocument/2006/relationships/hyperlink" Target="https://youxelteam.visualstudio.com/CheckNow/_workitems/edit/244767/?view=edit" TargetMode="External"/><Relationship Id="rId69" Type="http://schemas.openxmlformats.org/officeDocument/2006/relationships/hyperlink" Target="https://youxelteam.visualstudio.com/CheckNow/_workitems/edit/244768/?view=edit" TargetMode="External"/><Relationship Id="rId113" Type="http://schemas.openxmlformats.org/officeDocument/2006/relationships/hyperlink" Target="https://youxelteam.visualstudio.com/CheckNow/_workitems/edit/247316/?view=edit" TargetMode="External"/><Relationship Id="rId134" Type="http://schemas.openxmlformats.org/officeDocument/2006/relationships/hyperlink" Target="https://youxelteam.visualstudio.com/CheckNow/_workitems/edit/252825/?view=edit" TargetMode="External"/><Relationship Id="rId80" Type="http://schemas.openxmlformats.org/officeDocument/2006/relationships/hyperlink" Target="https://youxelteam.visualstudio.com/CheckNow/_workitems/edit/244761/?view=edit" TargetMode="External"/><Relationship Id="rId155" Type="http://schemas.openxmlformats.org/officeDocument/2006/relationships/hyperlink" Target="https://youxelteam.visualstudio.com/CheckNow/_workitems/edit/252825/?view=edit" TargetMode="External"/><Relationship Id="rId17" Type="http://schemas.openxmlformats.org/officeDocument/2006/relationships/hyperlink" Target="https://youxelteam.visualstudio.com/CheckNow/_workitems/edit/250832/?view=edit" TargetMode="External"/><Relationship Id="rId38" Type="http://schemas.openxmlformats.org/officeDocument/2006/relationships/hyperlink" Target="https://youxelteam.visualstudio.com/CheckNow/_workitems/edit/242628/?view=edit" TargetMode="External"/><Relationship Id="rId59" Type="http://schemas.openxmlformats.org/officeDocument/2006/relationships/hyperlink" Target="https://youxelteam.visualstudio.com/CheckNow/_workitems/edit/242629/?view=edit" TargetMode="External"/><Relationship Id="rId103" Type="http://schemas.openxmlformats.org/officeDocument/2006/relationships/hyperlink" Target="https://youxelteam.visualstudio.com/CheckNow/_workitems/edit/247305/?view=edit" TargetMode="External"/><Relationship Id="rId124" Type="http://schemas.openxmlformats.org/officeDocument/2006/relationships/hyperlink" Target="https://youxelteam.visualstudio.com/CheckNow/_workitems/edit/252836/?view=edit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xelteam.visualstudio.com/CheckNow/_workitems/edit/228960/?view=edit" TargetMode="External"/><Relationship Id="rId671" Type="http://schemas.openxmlformats.org/officeDocument/2006/relationships/hyperlink" Target="https://youxelteam.visualstudio.com/CheckNow/_workitems/edit/244768/?view=edit" TargetMode="External"/><Relationship Id="rId769" Type="http://schemas.openxmlformats.org/officeDocument/2006/relationships/hyperlink" Target="https://youxelteam.visualstudio.com/CheckNow/_workitems/edit/263534/?view=edit" TargetMode="External"/><Relationship Id="rId21" Type="http://schemas.openxmlformats.org/officeDocument/2006/relationships/hyperlink" Target="https://youxelteam.visualstudio.com/CheckNow/_workitems/edit/241399/?view=edit" TargetMode="External"/><Relationship Id="rId324" Type="http://schemas.openxmlformats.org/officeDocument/2006/relationships/hyperlink" Target="https://youxelteam.visualstudio.com/CheckNow/_workitems/edit/244767/?view=edit" TargetMode="External"/><Relationship Id="rId531" Type="http://schemas.openxmlformats.org/officeDocument/2006/relationships/hyperlink" Target="https://youxelteam.visualstudio.com/CheckNow/_workitems/edit/247302/?view=edit" TargetMode="External"/><Relationship Id="rId629" Type="http://schemas.openxmlformats.org/officeDocument/2006/relationships/hyperlink" Target="https://youxelteam.visualstudio.com/CheckNow/_workitems/edit/250832/?view=edit" TargetMode="External"/><Relationship Id="rId170" Type="http://schemas.openxmlformats.org/officeDocument/2006/relationships/hyperlink" Target="https://youxelteam.visualstudio.com/CheckNow/_workitems/edit/247302/?view=edit" TargetMode="External"/><Relationship Id="rId268" Type="http://schemas.openxmlformats.org/officeDocument/2006/relationships/hyperlink" Target="https://youxelteam.visualstudio.com/CheckNow/_workitems/edit/263833/?view=edit" TargetMode="External"/><Relationship Id="rId475" Type="http://schemas.openxmlformats.org/officeDocument/2006/relationships/hyperlink" Target="https://youxelteam.visualstudio.com/CheckNow/_workitems/edit/250832/?view=edit" TargetMode="External"/><Relationship Id="rId682" Type="http://schemas.openxmlformats.org/officeDocument/2006/relationships/hyperlink" Target="https://youxelteam.visualstudio.com/CheckNow/_workitems/edit/244756/?view=edit" TargetMode="External"/><Relationship Id="rId32" Type="http://schemas.openxmlformats.org/officeDocument/2006/relationships/hyperlink" Target="https://youxelteam.visualstudio.com/CheckNow/_workitems/edit/195968/?view=edit" TargetMode="External"/><Relationship Id="rId128" Type="http://schemas.openxmlformats.org/officeDocument/2006/relationships/hyperlink" Target="https://youxelteam.visualstudio.com/CheckNow/_workitems/edit/244768/?view=edit" TargetMode="External"/><Relationship Id="rId335" Type="http://schemas.openxmlformats.org/officeDocument/2006/relationships/hyperlink" Target="https://youxelteam.visualstudio.com/CheckNow/_workitems/edit/244768/?view=edit" TargetMode="External"/><Relationship Id="rId542" Type="http://schemas.openxmlformats.org/officeDocument/2006/relationships/hyperlink" Target="https://youxelteam.visualstudio.com/CheckNow/_workitems/edit/247321/?view=edit" TargetMode="External"/><Relationship Id="rId181" Type="http://schemas.openxmlformats.org/officeDocument/2006/relationships/hyperlink" Target="https://youxelteam.visualstudio.com/CheckNow/_workitems/edit/247305/?view=edit" TargetMode="External"/><Relationship Id="rId402" Type="http://schemas.openxmlformats.org/officeDocument/2006/relationships/hyperlink" Target="https://youxelteam.visualstudio.com/CheckNow/_workitems/edit/264492/?view=edit" TargetMode="External"/><Relationship Id="rId279" Type="http://schemas.openxmlformats.org/officeDocument/2006/relationships/hyperlink" Target="https://youxelteam.visualstudio.com/CheckNow/_workitems/edit/255495/?view=edit" TargetMode="External"/><Relationship Id="rId486" Type="http://schemas.openxmlformats.org/officeDocument/2006/relationships/hyperlink" Target="https://youxelteam.visualstudio.com/CheckNow/_workitems/edit/244767/?view=edit" TargetMode="External"/><Relationship Id="rId693" Type="http://schemas.openxmlformats.org/officeDocument/2006/relationships/hyperlink" Target="https://youxelteam.visualstudio.com/CheckNow/_workitems/edit/244758/?view=edit" TargetMode="External"/><Relationship Id="rId707" Type="http://schemas.openxmlformats.org/officeDocument/2006/relationships/hyperlink" Target="https://youxelteam.visualstudio.com/CheckNow/_workitems/edit/247310/?view=edit" TargetMode="External"/><Relationship Id="rId43" Type="http://schemas.openxmlformats.org/officeDocument/2006/relationships/hyperlink" Target="https://youxelteam.visualstudio.com/CheckNow/_workitems/edit/195968/?view=edit" TargetMode="External"/><Relationship Id="rId139" Type="http://schemas.openxmlformats.org/officeDocument/2006/relationships/hyperlink" Target="https://youxelteam.visualstudio.com/CheckNow/_workitems/edit/244756/?view=edit" TargetMode="External"/><Relationship Id="rId346" Type="http://schemas.openxmlformats.org/officeDocument/2006/relationships/hyperlink" Target="https://youxelteam.visualstudio.com/CheckNow/_workitems/edit/244756/?view=edit" TargetMode="External"/><Relationship Id="rId553" Type="http://schemas.openxmlformats.org/officeDocument/2006/relationships/hyperlink" Target="https://youxelteam.visualstudio.com/CheckNow/_workitems/edit/247310/?view=edit" TargetMode="External"/><Relationship Id="rId760" Type="http://schemas.openxmlformats.org/officeDocument/2006/relationships/hyperlink" Target="https://youxelteam.visualstudio.com/CheckNow/_workitems/edit/242628/?view=edit" TargetMode="External"/><Relationship Id="rId192" Type="http://schemas.openxmlformats.org/officeDocument/2006/relationships/hyperlink" Target="https://youxelteam.visualstudio.com/CheckNow/_workitems/edit/195968/?view=edit" TargetMode="External"/><Relationship Id="rId206" Type="http://schemas.openxmlformats.org/officeDocument/2006/relationships/hyperlink" Target="https://youxelteam.visualstudio.com/CheckNow/_workitems/edit/195968/?view=edit" TargetMode="External"/><Relationship Id="rId413" Type="http://schemas.openxmlformats.org/officeDocument/2006/relationships/hyperlink" Target="https://youxelteam.visualstudio.com/CheckNow/_workitems/edit/252825/?view=edit" TargetMode="External"/><Relationship Id="rId497" Type="http://schemas.openxmlformats.org/officeDocument/2006/relationships/hyperlink" Target="https://youxelteam.visualstudio.com/CheckNow/_workitems/edit/244768/?view=edit" TargetMode="External"/><Relationship Id="rId620" Type="http://schemas.openxmlformats.org/officeDocument/2006/relationships/hyperlink" Target="https://youxelteam.visualstudio.com/CheckNow/_workitems/edit/251892/?view=edit" TargetMode="External"/><Relationship Id="rId718" Type="http://schemas.openxmlformats.org/officeDocument/2006/relationships/hyperlink" Target="https://youxelteam.visualstudio.com/CheckNow/_workitems/edit/264492/?view=edit" TargetMode="External"/><Relationship Id="rId357" Type="http://schemas.openxmlformats.org/officeDocument/2006/relationships/hyperlink" Target="https://youxelteam.visualstudio.com/CheckNow/_workitems/edit/244758/?view=edit" TargetMode="External"/><Relationship Id="rId54" Type="http://schemas.openxmlformats.org/officeDocument/2006/relationships/hyperlink" Target="https://youxelteam.visualstudio.com/CheckNow/_workitems/edit/227974/?view=edit" TargetMode="External"/><Relationship Id="rId217" Type="http://schemas.openxmlformats.org/officeDocument/2006/relationships/hyperlink" Target="https://youxelteam.visualstudio.com/CheckNow/_workitems/edit/252836/?view=edit" TargetMode="External"/><Relationship Id="rId564" Type="http://schemas.openxmlformats.org/officeDocument/2006/relationships/hyperlink" Target="https://youxelteam.visualstudio.com/CheckNow/_workitems/edit/264492/?view=edit" TargetMode="External"/><Relationship Id="rId771" Type="http://schemas.openxmlformats.org/officeDocument/2006/relationships/hyperlink" Target="https://youxelteam.visualstudio.com/CheckNow/_workitems/edit/247303/?view=edit" TargetMode="External"/><Relationship Id="rId424" Type="http://schemas.openxmlformats.org/officeDocument/2006/relationships/hyperlink" Target="https://youxelteam.visualstudio.com/CheckNow/_workitems/edit/252825/?view=edit" TargetMode="External"/><Relationship Id="rId631" Type="http://schemas.openxmlformats.org/officeDocument/2006/relationships/hyperlink" Target="https://youxelteam.visualstudio.com/CheckNow/_workitems/edit/250832/?view=edit" TargetMode="External"/><Relationship Id="rId729" Type="http://schemas.openxmlformats.org/officeDocument/2006/relationships/hyperlink" Target="https://youxelteam.visualstudio.com/CheckNow/_workitems/edit/252825/?view=edit" TargetMode="External"/><Relationship Id="rId270" Type="http://schemas.openxmlformats.org/officeDocument/2006/relationships/hyperlink" Target="https://youxelteam.visualstudio.com/CheckNow/_workitems/edit/263833/?view=edit" TargetMode="External"/><Relationship Id="rId65" Type="http://schemas.openxmlformats.org/officeDocument/2006/relationships/hyperlink" Target="https://youxelteam.visualstudio.com/CheckNow/_workitems/edit/250832/?view=edit" TargetMode="External"/><Relationship Id="rId130" Type="http://schemas.openxmlformats.org/officeDocument/2006/relationships/hyperlink" Target="https://youxelteam.visualstudio.com/CheckNow/_workitems/edit/244768/?view=edit" TargetMode="External"/><Relationship Id="rId368" Type="http://schemas.openxmlformats.org/officeDocument/2006/relationships/hyperlink" Target="https://youxelteam.visualstudio.com/CheckNow/_workitems/edit/247302/?view=edit" TargetMode="External"/><Relationship Id="rId575" Type="http://schemas.openxmlformats.org/officeDocument/2006/relationships/hyperlink" Target="https://youxelteam.visualstudio.com/CheckNow/_workitems/edit/252825/?view=edit" TargetMode="External"/><Relationship Id="rId782" Type="http://schemas.openxmlformats.org/officeDocument/2006/relationships/hyperlink" Target="https://youxelteam.visualstudio.com/CheckNow/_workitems/edit/247316/?view=edit" TargetMode="External"/><Relationship Id="rId228" Type="http://schemas.openxmlformats.org/officeDocument/2006/relationships/hyperlink" Target="https://youxelteam.visualstudio.com/CheckNow/_workitems/edit/264494/?view=edit" TargetMode="External"/><Relationship Id="rId435" Type="http://schemas.openxmlformats.org/officeDocument/2006/relationships/hyperlink" Target="https://youxelteam.visualstudio.com/CheckNow/_workitems/edit/260487/?view=edit" TargetMode="External"/><Relationship Id="rId642" Type="http://schemas.openxmlformats.org/officeDocument/2006/relationships/hyperlink" Target="https://youxelteam.visualstudio.com/CheckNow/_workitems/edit/250832/?view=edit" TargetMode="External"/><Relationship Id="rId281" Type="http://schemas.openxmlformats.org/officeDocument/2006/relationships/hyperlink" Target="https://youxelteam.visualstudio.com/CheckNow/_workitems/edit/250832/?view=edit" TargetMode="External"/><Relationship Id="rId502" Type="http://schemas.openxmlformats.org/officeDocument/2006/relationships/hyperlink" Target="https://youxelteam.visualstudio.com/CheckNow/_workitems/edit/244768/?view=edit" TargetMode="External"/><Relationship Id="rId76" Type="http://schemas.openxmlformats.org/officeDocument/2006/relationships/hyperlink" Target="https://youxelteam.visualstudio.com/CheckNow/_workitems/edit/250832/?view=edit" TargetMode="External"/><Relationship Id="rId141" Type="http://schemas.openxmlformats.org/officeDocument/2006/relationships/hyperlink" Target="https://youxelteam.visualstudio.com/CheckNow/_workitems/edit/244756/?view=edit" TargetMode="External"/><Relationship Id="rId379" Type="http://schemas.openxmlformats.org/officeDocument/2006/relationships/hyperlink" Target="https://youxelteam.visualstudio.com/CheckNow/_workitems/edit/247324/?view=edit" TargetMode="External"/><Relationship Id="rId586" Type="http://schemas.openxmlformats.org/officeDocument/2006/relationships/hyperlink" Target="https://youxelteam.visualstudio.com/CheckNow/_workitems/edit/252825/?view=edit" TargetMode="External"/><Relationship Id="rId7" Type="http://schemas.openxmlformats.org/officeDocument/2006/relationships/hyperlink" Target="https://youxelteam.visualstudio.com/CheckNow/_workitems/edit/228964/?view=edit" TargetMode="External"/><Relationship Id="rId239" Type="http://schemas.openxmlformats.org/officeDocument/2006/relationships/hyperlink" Target="https://youxelteam.visualstudio.com/CheckNow/_workitems/edit/252825/?view=edit" TargetMode="External"/><Relationship Id="rId446" Type="http://schemas.openxmlformats.org/officeDocument/2006/relationships/hyperlink" Target="https://youxelteam.visualstudio.com/CheckNow/_workitems/edit/260177/?view=edit" TargetMode="External"/><Relationship Id="rId653" Type="http://schemas.openxmlformats.org/officeDocument/2006/relationships/hyperlink" Target="https://youxelteam.visualstudio.com/CheckNow/_workitems/edit/247747/?view=edit" TargetMode="External"/><Relationship Id="rId292" Type="http://schemas.openxmlformats.org/officeDocument/2006/relationships/hyperlink" Target="https://youxelteam.visualstudio.com/CheckNow/_workitems/edit/250832/?view=edit" TargetMode="External"/><Relationship Id="rId306" Type="http://schemas.openxmlformats.org/officeDocument/2006/relationships/hyperlink" Target="https://youxelteam.visualstudio.com/CheckNow/_workitems/edit/242628/?view=edit" TargetMode="External"/><Relationship Id="rId87" Type="http://schemas.openxmlformats.org/officeDocument/2006/relationships/hyperlink" Target="https://youxelteam.visualstudio.com/CheckNow/_workitems/edit/250832/?view=edit" TargetMode="External"/><Relationship Id="rId513" Type="http://schemas.openxmlformats.org/officeDocument/2006/relationships/hyperlink" Target="https://youxelteam.visualstudio.com/CheckNow/_workitems/edit/244761/?view=edit" TargetMode="External"/><Relationship Id="rId597" Type="http://schemas.openxmlformats.org/officeDocument/2006/relationships/hyperlink" Target="https://youxelteam.visualstudio.com/CheckNow/_workitems/edit/252825/?view=edit" TargetMode="External"/><Relationship Id="rId720" Type="http://schemas.openxmlformats.org/officeDocument/2006/relationships/hyperlink" Target="https://youxelteam.visualstudio.com/CheckNow/_workitems/edit/264494/?view=edit" TargetMode="External"/><Relationship Id="rId152" Type="http://schemas.openxmlformats.org/officeDocument/2006/relationships/hyperlink" Target="https://youxelteam.visualstudio.com/CheckNow/_workitems/edit/228961/?view=edit" TargetMode="External"/><Relationship Id="rId457" Type="http://schemas.openxmlformats.org/officeDocument/2006/relationships/hyperlink" Target="https://youxelteam.visualstudio.com/CheckNow/_workitems/edit/250832/?view=edit" TargetMode="External"/><Relationship Id="rId664" Type="http://schemas.openxmlformats.org/officeDocument/2006/relationships/hyperlink" Target="https://youxelteam.visualstudio.com/CheckNow/_workitems/edit/244770/?view=edit" TargetMode="External"/><Relationship Id="rId14" Type="http://schemas.openxmlformats.org/officeDocument/2006/relationships/hyperlink" Target="https://youxelteam.visualstudio.com/CheckNow/_workitems/edit/228960/?view=edit" TargetMode="External"/><Relationship Id="rId317" Type="http://schemas.openxmlformats.org/officeDocument/2006/relationships/hyperlink" Target="https://youxelteam.visualstudio.com/CheckNow/_workitems/edit/244767/?view=edit" TargetMode="External"/><Relationship Id="rId524" Type="http://schemas.openxmlformats.org/officeDocument/2006/relationships/hyperlink" Target="https://youxelteam.visualstudio.com/CheckNow/_workitems/edit/263534/?view=edit" TargetMode="External"/><Relationship Id="rId731" Type="http://schemas.openxmlformats.org/officeDocument/2006/relationships/hyperlink" Target="https://youxelteam.visualstudio.com/CheckNow/_workitems/edit/252825/?view=edit" TargetMode="External"/><Relationship Id="rId98" Type="http://schemas.openxmlformats.org/officeDocument/2006/relationships/hyperlink" Target="https://youxelteam.visualstudio.com/CheckNow/_workitems/edit/242628/?view=edit" TargetMode="External"/><Relationship Id="rId163" Type="http://schemas.openxmlformats.org/officeDocument/2006/relationships/hyperlink" Target="https://youxelteam.visualstudio.com/CheckNow/_workitems/edit/263834/?view=edit" TargetMode="External"/><Relationship Id="rId370" Type="http://schemas.openxmlformats.org/officeDocument/2006/relationships/hyperlink" Target="https://youxelteam.visualstudio.com/CheckNow/_workitems/edit/253676/?view=edit" TargetMode="External"/><Relationship Id="rId230" Type="http://schemas.openxmlformats.org/officeDocument/2006/relationships/hyperlink" Target="https://youxelteam.visualstudio.com/CheckNow/_workitems/edit/252825/?view=edit" TargetMode="External"/><Relationship Id="rId468" Type="http://schemas.openxmlformats.org/officeDocument/2006/relationships/hyperlink" Target="https://youxelteam.visualstudio.com/CheckNow/_workitems/edit/250832/?view=edit" TargetMode="External"/><Relationship Id="rId675" Type="http://schemas.openxmlformats.org/officeDocument/2006/relationships/hyperlink" Target="https://youxelteam.visualstudio.com/CheckNow/_workitems/edit/244768/?view=edit" TargetMode="External"/><Relationship Id="rId25" Type="http://schemas.openxmlformats.org/officeDocument/2006/relationships/hyperlink" Target="https://youxelteam.visualstudio.com/CheckNow/_workitems/edit/195967/?view=edit" TargetMode="External"/><Relationship Id="rId328" Type="http://schemas.openxmlformats.org/officeDocument/2006/relationships/hyperlink" Target="https://youxelteam.visualstudio.com/CheckNow/_workitems/edit/244770/?view=edit" TargetMode="External"/><Relationship Id="rId535" Type="http://schemas.openxmlformats.org/officeDocument/2006/relationships/hyperlink" Target="https://youxelteam.visualstudio.com/CheckNow/_workitems/edit/253676/?view=edit" TargetMode="External"/><Relationship Id="rId742" Type="http://schemas.openxmlformats.org/officeDocument/2006/relationships/hyperlink" Target="https://youxelteam.visualstudio.com/CheckNow/_workitems/edit/252825/?view=edit" TargetMode="External"/><Relationship Id="rId174" Type="http://schemas.openxmlformats.org/officeDocument/2006/relationships/hyperlink" Target="https://youxelteam.visualstudio.com/CheckNow/_workitems/edit/253676/?view=edit" TargetMode="External"/><Relationship Id="rId381" Type="http://schemas.openxmlformats.org/officeDocument/2006/relationships/hyperlink" Target="https://youxelteam.visualstudio.com/CheckNow/_workitems/edit/247308/?view=edit" TargetMode="External"/><Relationship Id="rId602" Type="http://schemas.openxmlformats.org/officeDocument/2006/relationships/hyperlink" Target="https://youxelteam.visualstudio.com/CheckNow/_workitems/edit/263833/?view=edit" TargetMode="External"/><Relationship Id="rId241" Type="http://schemas.openxmlformats.org/officeDocument/2006/relationships/hyperlink" Target="https://youxelteam.visualstudio.com/CheckNow/_workitems/edit/252825/?view=edit" TargetMode="External"/><Relationship Id="rId479" Type="http://schemas.openxmlformats.org/officeDocument/2006/relationships/hyperlink" Target="https://youxelteam.visualstudio.com/CheckNow/_workitems/edit/242628/?view=edit" TargetMode="External"/><Relationship Id="rId686" Type="http://schemas.openxmlformats.org/officeDocument/2006/relationships/hyperlink" Target="https://youxelteam.visualstudio.com/CheckNow/_workitems/edit/244761/?view=edit" TargetMode="External"/><Relationship Id="rId36" Type="http://schemas.openxmlformats.org/officeDocument/2006/relationships/hyperlink" Target="https://youxelteam.visualstudio.com/CheckNow/_workitems/edit/195968/?view=edit" TargetMode="External"/><Relationship Id="rId339" Type="http://schemas.openxmlformats.org/officeDocument/2006/relationships/hyperlink" Target="https://youxelteam.visualstudio.com/CheckNow/_workitems/edit/244768/?view=edit" TargetMode="External"/><Relationship Id="rId546" Type="http://schemas.openxmlformats.org/officeDocument/2006/relationships/hyperlink" Target="https://youxelteam.visualstudio.com/CheckNow/_workitems/edit/247315/?view=edit" TargetMode="External"/><Relationship Id="rId753" Type="http://schemas.openxmlformats.org/officeDocument/2006/relationships/hyperlink" Target="https://youxelteam.visualstudio.com/CheckNow/_workitems/edit/263833/?view=edit" TargetMode="External"/><Relationship Id="rId101" Type="http://schemas.openxmlformats.org/officeDocument/2006/relationships/hyperlink" Target="https://youxelteam.visualstudio.com/CheckNow/_workitems/edit/247747/?view=edit" TargetMode="External"/><Relationship Id="rId185" Type="http://schemas.openxmlformats.org/officeDocument/2006/relationships/hyperlink" Target="https://youxelteam.visualstudio.com/CheckNow/_workitems/edit/247322/?view=edit" TargetMode="External"/><Relationship Id="rId406" Type="http://schemas.openxmlformats.org/officeDocument/2006/relationships/hyperlink" Target="https://youxelteam.visualstudio.com/CheckNow/_workitems/edit/252825/?view=edit" TargetMode="External"/><Relationship Id="rId392" Type="http://schemas.openxmlformats.org/officeDocument/2006/relationships/hyperlink" Target="https://youxelteam.visualstudio.com/CheckNow/_workitems/edit/247311/?view=edit" TargetMode="External"/><Relationship Id="rId613" Type="http://schemas.openxmlformats.org/officeDocument/2006/relationships/hyperlink" Target="https://youxelteam.visualstudio.com/CheckNow/_workitems/edit/247747/?view=edit" TargetMode="External"/><Relationship Id="rId697" Type="http://schemas.openxmlformats.org/officeDocument/2006/relationships/hyperlink" Target="https://youxelteam.visualstudio.com/CheckNow/_workitems/edit/263834/?view=edit" TargetMode="External"/><Relationship Id="rId252" Type="http://schemas.openxmlformats.org/officeDocument/2006/relationships/hyperlink" Target="https://youxelteam.visualstudio.com/CheckNow/_workitems/edit/252825/?view=edit" TargetMode="External"/><Relationship Id="rId47" Type="http://schemas.openxmlformats.org/officeDocument/2006/relationships/hyperlink" Target="https://youxelteam.visualstudio.com/CheckNow/_workitems/edit/193289/?view=edit" TargetMode="External"/><Relationship Id="rId112" Type="http://schemas.openxmlformats.org/officeDocument/2006/relationships/hyperlink" Target="https://youxelteam.visualstudio.com/CheckNow/_workitems/edit/244767/?view=edit" TargetMode="External"/><Relationship Id="rId557" Type="http://schemas.openxmlformats.org/officeDocument/2006/relationships/hyperlink" Target="https://youxelteam.visualstudio.com/CheckNow/_workitems/edit/252836/?view=edit" TargetMode="External"/><Relationship Id="rId764" Type="http://schemas.openxmlformats.org/officeDocument/2006/relationships/hyperlink" Target="https://youxelteam.visualstudio.com/CheckNow/_workitems/edit/247748/?view=edit" TargetMode="External"/><Relationship Id="rId196" Type="http://schemas.openxmlformats.org/officeDocument/2006/relationships/hyperlink" Target="https://youxelteam.visualstudio.com/CheckNow/_workitems/edit/195968/?view=edit" TargetMode="External"/><Relationship Id="rId417" Type="http://schemas.openxmlformats.org/officeDocument/2006/relationships/hyperlink" Target="https://youxelteam.visualstudio.com/CheckNow/_workitems/edit/252825/?view=edit" TargetMode="External"/><Relationship Id="rId624" Type="http://schemas.openxmlformats.org/officeDocument/2006/relationships/hyperlink" Target="https://youxelteam.visualstudio.com/CheckNow/_workitems/edit/255495/?view=edit" TargetMode="External"/><Relationship Id="rId263" Type="http://schemas.openxmlformats.org/officeDocument/2006/relationships/hyperlink" Target="https://youxelteam.visualstudio.com/CheckNow/_workitems/edit/247821/?view=edit" TargetMode="External"/><Relationship Id="rId470" Type="http://schemas.openxmlformats.org/officeDocument/2006/relationships/hyperlink" Target="https://youxelteam.visualstudio.com/CheckNow/_workitems/edit/250832/?view=edit" TargetMode="External"/><Relationship Id="rId58" Type="http://schemas.openxmlformats.org/officeDocument/2006/relationships/hyperlink" Target="https://youxelteam.visualstudio.com/CheckNow/_workitems/edit/233816/?view=edit" TargetMode="External"/><Relationship Id="rId123" Type="http://schemas.openxmlformats.org/officeDocument/2006/relationships/hyperlink" Target="https://youxelteam.visualstudio.com/CheckNow/_workitems/edit/242629/?view=edit" TargetMode="External"/><Relationship Id="rId330" Type="http://schemas.openxmlformats.org/officeDocument/2006/relationships/hyperlink" Target="https://youxelteam.visualstudio.com/CheckNow/_workitems/edit/242629/?view=edit" TargetMode="External"/><Relationship Id="rId568" Type="http://schemas.openxmlformats.org/officeDocument/2006/relationships/hyperlink" Target="https://youxelteam.visualstudio.com/CheckNow/_workitems/edit/264494/?view=edit" TargetMode="External"/><Relationship Id="rId775" Type="http://schemas.openxmlformats.org/officeDocument/2006/relationships/hyperlink" Target="https://youxelteam.visualstudio.com/CheckNow/_workitems/edit/247322/?view=edit" TargetMode="External"/><Relationship Id="rId428" Type="http://schemas.openxmlformats.org/officeDocument/2006/relationships/hyperlink" Target="https://youxelteam.visualstudio.com/CheckNow/_workitems/edit/252825/?view=edit" TargetMode="External"/><Relationship Id="rId635" Type="http://schemas.openxmlformats.org/officeDocument/2006/relationships/hyperlink" Target="https://youxelteam.visualstudio.com/CheckNow/_workitems/edit/250832/?view=edit" TargetMode="External"/><Relationship Id="rId274" Type="http://schemas.openxmlformats.org/officeDocument/2006/relationships/hyperlink" Target="https://youxelteam.visualstudio.com/CheckNow/_workitems/edit/260177/?view=edit" TargetMode="External"/><Relationship Id="rId481" Type="http://schemas.openxmlformats.org/officeDocument/2006/relationships/hyperlink" Target="https://youxelteam.visualstudio.com/CheckNow/_workitems/edit/247747/?view=edit" TargetMode="External"/><Relationship Id="rId702" Type="http://schemas.openxmlformats.org/officeDocument/2006/relationships/hyperlink" Target="https://youxelteam.visualstudio.com/CheckNow/_workitems/edit/253676/?view=edit" TargetMode="External"/><Relationship Id="rId69" Type="http://schemas.openxmlformats.org/officeDocument/2006/relationships/hyperlink" Target="https://youxelteam.visualstudio.com/CheckNow/_workitems/edit/250832/?view=edit" TargetMode="External"/><Relationship Id="rId134" Type="http://schemas.openxmlformats.org/officeDocument/2006/relationships/hyperlink" Target="https://youxelteam.visualstudio.com/CheckNow/_workitems/edit/244768/?view=edit" TargetMode="External"/><Relationship Id="rId579" Type="http://schemas.openxmlformats.org/officeDocument/2006/relationships/hyperlink" Target="https://youxelteam.visualstudio.com/CheckNow/_workitems/edit/252825/?view=edit" TargetMode="External"/><Relationship Id="rId786" Type="http://schemas.openxmlformats.org/officeDocument/2006/relationships/hyperlink" Target="https://youxelteam.visualstudio.com/CheckNow/_workitems/edit/262102/?view=edit" TargetMode="External"/><Relationship Id="rId341" Type="http://schemas.openxmlformats.org/officeDocument/2006/relationships/hyperlink" Target="https://youxelteam.visualstudio.com/CheckNow/_workitems/edit/244768/?view=edit" TargetMode="External"/><Relationship Id="rId439" Type="http://schemas.openxmlformats.org/officeDocument/2006/relationships/hyperlink" Target="https://youxelteam.visualstudio.com/CheckNow/_workitems/edit/263833/?view=edit" TargetMode="External"/><Relationship Id="rId646" Type="http://schemas.openxmlformats.org/officeDocument/2006/relationships/hyperlink" Target="https://youxelteam.visualstudio.com/CheckNow/_workitems/edit/250832/?view=edit" TargetMode="External"/><Relationship Id="rId201" Type="http://schemas.openxmlformats.org/officeDocument/2006/relationships/hyperlink" Target="https://youxelteam.visualstudio.com/CheckNow/_workitems/edit/247316/?view=edit" TargetMode="External"/><Relationship Id="rId285" Type="http://schemas.openxmlformats.org/officeDocument/2006/relationships/hyperlink" Target="https://youxelteam.visualstudio.com/CheckNow/_workitems/edit/250832/?view=edit" TargetMode="External"/><Relationship Id="rId506" Type="http://schemas.openxmlformats.org/officeDocument/2006/relationships/hyperlink" Target="https://youxelteam.visualstudio.com/CheckNow/_workitems/edit/244772/?view=edit" TargetMode="External"/><Relationship Id="rId492" Type="http://schemas.openxmlformats.org/officeDocument/2006/relationships/hyperlink" Target="https://youxelteam.visualstudio.com/CheckNow/_workitems/edit/244770/?view=edit" TargetMode="External"/><Relationship Id="rId713" Type="http://schemas.openxmlformats.org/officeDocument/2006/relationships/hyperlink" Target="https://youxelteam.visualstudio.com/CheckNow/_workitems/edit/252836/?view=edit" TargetMode="External"/><Relationship Id="rId145" Type="http://schemas.openxmlformats.org/officeDocument/2006/relationships/hyperlink" Target="https://youxelteam.visualstudio.com/CheckNow/_workitems/edit/244761/?view=edit" TargetMode="External"/><Relationship Id="rId352" Type="http://schemas.openxmlformats.org/officeDocument/2006/relationships/hyperlink" Target="https://youxelteam.visualstudio.com/CheckNow/_workitems/edit/244761/?view=edit" TargetMode="External"/><Relationship Id="rId212" Type="http://schemas.openxmlformats.org/officeDocument/2006/relationships/hyperlink" Target="https://youxelteam.visualstudio.com/CheckNow/_workitems/edit/195968/?view=edit" TargetMode="External"/><Relationship Id="rId657" Type="http://schemas.openxmlformats.org/officeDocument/2006/relationships/hyperlink" Target="https://youxelteam.visualstudio.com/CheckNow/_workitems/edit/244767/?view=edit" TargetMode="External"/><Relationship Id="rId296" Type="http://schemas.openxmlformats.org/officeDocument/2006/relationships/hyperlink" Target="https://youxelteam.visualstudio.com/CheckNow/_workitems/edit/250832/?view=edit" TargetMode="External"/><Relationship Id="rId517" Type="http://schemas.openxmlformats.org/officeDocument/2006/relationships/hyperlink" Target="https://youxelteam.visualstudio.com/CheckNow/_workitems/edit/244757/?view=edit" TargetMode="External"/><Relationship Id="rId724" Type="http://schemas.openxmlformats.org/officeDocument/2006/relationships/hyperlink" Target="https://youxelteam.visualstudio.com/CheckNow/_workitems/edit/252825/?view=edit" TargetMode="External"/><Relationship Id="rId60" Type="http://schemas.openxmlformats.org/officeDocument/2006/relationships/hyperlink" Target="https://youxelteam.visualstudio.com/CheckNow/_workitems/edit/233934/?view=edit" TargetMode="External"/><Relationship Id="rId156" Type="http://schemas.openxmlformats.org/officeDocument/2006/relationships/hyperlink" Target="https://youxelteam.visualstudio.com/CheckNow/_workitems/edit/241399/?view=edit" TargetMode="External"/><Relationship Id="rId363" Type="http://schemas.openxmlformats.org/officeDocument/2006/relationships/hyperlink" Target="https://youxelteam.visualstudio.com/CheckNow/_workitems/edit/263834/?view=edit" TargetMode="External"/><Relationship Id="rId570" Type="http://schemas.openxmlformats.org/officeDocument/2006/relationships/hyperlink" Target="https://youxelteam.visualstudio.com/CheckNow/_workitems/edit/252825/?view=edit" TargetMode="External"/><Relationship Id="rId223" Type="http://schemas.openxmlformats.org/officeDocument/2006/relationships/hyperlink" Target="https://youxelteam.visualstudio.com/CheckNow/_workitems/edit/264492/?view=edit" TargetMode="External"/><Relationship Id="rId430" Type="http://schemas.openxmlformats.org/officeDocument/2006/relationships/hyperlink" Target="https://youxelteam.visualstudio.com/CheckNow/_workitems/edit/252825/?view=edit" TargetMode="External"/><Relationship Id="rId668" Type="http://schemas.openxmlformats.org/officeDocument/2006/relationships/hyperlink" Target="https://youxelteam.visualstudio.com/CheckNow/_workitems/edit/242629/?view=edit" TargetMode="External"/><Relationship Id="rId18" Type="http://schemas.openxmlformats.org/officeDocument/2006/relationships/hyperlink" Target="https://youxelteam.visualstudio.com/CheckNow/_workitems/edit/228960/?view=edit" TargetMode="External"/><Relationship Id="rId528" Type="http://schemas.openxmlformats.org/officeDocument/2006/relationships/hyperlink" Target="https://youxelteam.visualstudio.com/CheckNow/_workitems/edit/263834/?view=edit" TargetMode="External"/><Relationship Id="rId735" Type="http://schemas.openxmlformats.org/officeDocument/2006/relationships/hyperlink" Target="https://youxelteam.visualstudio.com/CheckNow/_workitems/edit/252825/?view=edit" TargetMode="External"/><Relationship Id="rId167" Type="http://schemas.openxmlformats.org/officeDocument/2006/relationships/hyperlink" Target="https://youxelteam.visualstudio.com/CheckNow/_workitems/edit/264506/?view=edit" TargetMode="External"/><Relationship Id="rId374" Type="http://schemas.openxmlformats.org/officeDocument/2006/relationships/hyperlink" Target="https://youxelteam.visualstudio.com/CheckNow/_workitems/edit/247304/?view=edit" TargetMode="External"/><Relationship Id="rId581" Type="http://schemas.openxmlformats.org/officeDocument/2006/relationships/hyperlink" Target="https://youxelteam.visualstudio.com/CheckNow/_workitems/edit/252825/?view=edit" TargetMode="External"/><Relationship Id="rId71" Type="http://schemas.openxmlformats.org/officeDocument/2006/relationships/hyperlink" Target="https://youxelteam.visualstudio.com/CheckNow/_workitems/edit/250832/?view=edit" TargetMode="External"/><Relationship Id="rId234" Type="http://schemas.openxmlformats.org/officeDocument/2006/relationships/hyperlink" Target="https://youxelteam.visualstudio.com/CheckNow/_workitems/edit/252825/?view=edit" TargetMode="External"/><Relationship Id="rId679" Type="http://schemas.openxmlformats.org/officeDocument/2006/relationships/hyperlink" Target="https://youxelteam.visualstudio.com/CheckNow/_workitems/edit/244772/?view=edit" TargetMode="External"/><Relationship Id="rId2" Type="http://schemas.openxmlformats.org/officeDocument/2006/relationships/hyperlink" Target="https://youxelteam.visualstudio.com/CheckNow/_workitems/edit/227974/?view=edit" TargetMode="External"/><Relationship Id="rId29" Type="http://schemas.openxmlformats.org/officeDocument/2006/relationships/hyperlink" Target="https://youxelteam.visualstudio.com/CheckNow/_workitems/edit/195968/?view=edit" TargetMode="External"/><Relationship Id="rId441" Type="http://schemas.openxmlformats.org/officeDocument/2006/relationships/hyperlink" Target="https://youxelteam.visualstudio.com/CheckNow/_workitems/edit/263833/?view=edit" TargetMode="External"/><Relationship Id="rId539" Type="http://schemas.openxmlformats.org/officeDocument/2006/relationships/hyperlink" Target="https://youxelteam.visualstudio.com/CheckNow/_workitems/edit/247305/?view=edit" TargetMode="External"/><Relationship Id="rId746" Type="http://schemas.openxmlformats.org/officeDocument/2006/relationships/hyperlink" Target="https://youxelteam.visualstudio.com/CheckNow/_workitems/edit/252825/?view=edit" TargetMode="External"/><Relationship Id="rId178" Type="http://schemas.openxmlformats.org/officeDocument/2006/relationships/hyperlink" Target="https://youxelteam.visualstudio.com/CheckNow/_workitems/edit/195967/?view=edit" TargetMode="External"/><Relationship Id="rId301" Type="http://schemas.openxmlformats.org/officeDocument/2006/relationships/hyperlink" Target="https://youxelteam.visualstudio.com/CheckNow/_workitems/edit/250832/?view=edit" TargetMode="External"/><Relationship Id="rId82" Type="http://schemas.openxmlformats.org/officeDocument/2006/relationships/hyperlink" Target="https://youxelteam.visualstudio.com/CheckNow/_workitems/edit/250832/?view=edit" TargetMode="External"/><Relationship Id="rId385" Type="http://schemas.openxmlformats.org/officeDocument/2006/relationships/hyperlink" Target="https://youxelteam.visualstudio.com/CheckNow/_workitems/edit/247316/?view=edit" TargetMode="External"/><Relationship Id="rId592" Type="http://schemas.openxmlformats.org/officeDocument/2006/relationships/hyperlink" Target="https://youxelteam.visualstudio.com/CheckNow/_workitems/edit/252825/?view=edit" TargetMode="External"/><Relationship Id="rId606" Type="http://schemas.openxmlformats.org/officeDocument/2006/relationships/hyperlink" Target="https://youxelteam.visualstudio.com/CheckNow/_workitems/edit/263833/?view=edit" TargetMode="External"/><Relationship Id="rId245" Type="http://schemas.openxmlformats.org/officeDocument/2006/relationships/hyperlink" Target="https://youxelteam.visualstudio.com/CheckNow/_workitems/edit/252825/?view=edit" TargetMode="External"/><Relationship Id="rId452" Type="http://schemas.openxmlformats.org/officeDocument/2006/relationships/hyperlink" Target="https://youxelteam.visualstudio.com/CheckNow/_workitems/edit/255495/?view=edit" TargetMode="External"/><Relationship Id="rId105" Type="http://schemas.openxmlformats.org/officeDocument/2006/relationships/hyperlink" Target="https://youxelteam.visualstudio.com/CheckNow/_workitems/edit/228960/?view=edit" TargetMode="External"/><Relationship Id="rId312" Type="http://schemas.openxmlformats.org/officeDocument/2006/relationships/hyperlink" Target="https://youxelteam.visualstudio.com/CheckNow/_workitems/edit/242628/?view=edit" TargetMode="External"/><Relationship Id="rId757" Type="http://schemas.openxmlformats.org/officeDocument/2006/relationships/hyperlink" Target="https://youxelteam.visualstudio.com/CheckNow/_workitems/edit/263833/?view=edit" TargetMode="External"/><Relationship Id="rId93" Type="http://schemas.openxmlformats.org/officeDocument/2006/relationships/hyperlink" Target="https://youxelteam.visualstudio.com/CheckNow/_workitems/edit/242628/?view=edit" TargetMode="External"/><Relationship Id="rId189" Type="http://schemas.openxmlformats.org/officeDocument/2006/relationships/hyperlink" Target="https://youxelteam.visualstudio.com/CheckNow/_workitems/edit/247324/?view=edit" TargetMode="External"/><Relationship Id="rId396" Type="http://schemas.openxmlformats.org/officeDocument/2006/relationships/hyperlink" Target="https://youxelteam.visualstudio.com/CheckNow/_workitems/edit/252836/?view=edit" TargetMode="External"/><Relationship Id="rId617" Type="http://schemas.openxmlformats.org/officeDocument/2006/relationships/hyperlink" Target="https://youxelteam.visualstudio.com/CheckNow/_workitems/edit/260177/?view=edit" TargetMode="External"/><Relationship Id="rId256" Type="http://schemas.openxmlformats.org/officeDocument/2006/relationships/hyperlink" Target="https://youxelteam.visualstudio.com/CheckNow/_workitems/edit/252825/?view=edit" TargetMode="External"/><Relationship Id="rId463" Type="http://schemas.openxmlformats.org/officeDocument/2006/relationships/hyperlink" Target="https://youxelteam.visualstudio.com/CheckNow/_workitems/edit/250832/?view=edit" TargetMode="External"/><Relationship Id="rId670" Type="http://schemas.openxmlformats.org/officeDocument/2006/relationships/hyperlink" Target="https://youxelteam.visualstudio.com/CheckNow/_workitems/edit/244768/?view=edit" TargetMode="External"/><Relationship Id="rId116" Type="http://schemas.openxmlformats.org/officeDocument/2006/relationships/hyperlink" Target="https://youxelteam.visualstudio.com/CheckNow/_workitems/edit/244764/?view=edit" TargetMode="External"/><Relationship Id="rId323" Type="http://schemas.openxmlformats.org/officeDocument/2006/relationships/hyperlink" Target="https://youxelteam.visualstudio.com/CheckNow/_workitems/edit/244767/?view=edit" TargetMode="External"/><Relationship Id="rId530" Type="http://schemas.openxmlformats.org/officeDocument/2006/relationships/hyperlink" Target="https://youxelteam.visualstudio.com/CheckNow/_workitems/edit/264506/?view=edit" TargetMode="External"/><Relationship Id="rId768" Type="http://schemas.openxmlformats.org/officeDocument/2006/relationships/hyperlink" Target="https://youxelteam.visualstudio.com/CheckNow/_workitems/edit/263534/?view=edit" TargetMode="External"/><Relationship Id="rId20" Type="http://schemas.openxmlformats.org/officeDocument/2006/relationships/hyperlink" Target="https://youxelteam.visualstudio.com/CheckNow/_workitems/edit/228961/?view=edit" TargetMode="External"/><Relationship Id="rId628" Type="http://schemas.openxmlformats.org/officeDocument/2006/relationships/hyperlink" Target="https://youxelteam.visualstudio.com/CheckNow/_workitems/edit/250832/?view=edit" TargetMode="External"/><Relationship Id="rId267" Type="http://schemas.openxmlformats.org/officeDocument/2006/relationships/hyperlink" Target="https://youxelteam.visualstudio.com/CheckNow/_workitems/edit/263833/?view=edit" TargetMode="External"/><Relationship Id="rId474" Type="http://schemas.openxmlformats.org/officeDocument/2006/relationships/hyperlink" Target="https://youxelteam.visualstudio.com/CheckNow/_workitems/edit/250832/?view=edit" TargetMode="External"/><Relationship Id="rId127" Type="http://schemas.openxmlformats.org/officeDocument/2006/relationships/hyperlink" Target="https://youxelteam.visualstudio.com/CheckNow/_workitems/edit/244768/?view=edit" TargetMode="External"/><Relationship Id="rId681" Type="http://schemas.openxmlformats.org/officeDocument/2006/relationships/hyperlink" Target="https://youxelteam.visualstudio.com/CheckNow/_workitems/edit/244756/?view=edit" TargetMode="External"/><Relationship Id="rId779" Type="http://schemas.openxmlformats.org/officeDocument/2006/relationships/hyperlink" Target="https://youxelteam.visualstudio.com/CheckNow/_workitems/edit/247308/?view=edit" TargetMode="External"/><Relationship Id="rId31" Type="http://schemas.openxmlformats.org/officeDocument/2006/relationships/hyperlink" Target="https://youxelteam.visualstudio.com/CheckNow/_workitems/edit/195968/?view=edit" TargetMode="External"/><Relationship Id="rId334" Type="http://schemas.openxmlformats.org/officeDocument/2006/relationships/hyperlink" Target="https://youxelteam.visualstudio.com/CheckNow/_workitems/edit/244768/?view=edit" TargetMode="External"/><Relationship Id="rId541" Type="http://schemas.openxmlformats.org/officeDocument/2006/relationships/hyperlink" Target="https://youxelteam.visualstudio.com/CheckNow/_workitems/edit/247322/?view=edit" TargetMode="External"/><Relationship Id="rId639" Type="http://schemas.openxmlformats.org/officeDocument/2006/relationships/hyperlink" Target="https://youxelteam.visualstudio.com/CheckNow/_workitems/edit/250832/?view=edit" TargetMode="External"/><Relationship Id="rId180" Type="http://schemas.openxmlformats.org/officeDocument/2006/relationships/hyperlink" Target="https://youxelteam.visualstudio.com/CheckNow/_workitems/edit/195967/?view=edit" TargetMode="External"/><Relationship Id="rId278" Type="http://schemas.openxmlformats.org/officeDocument/2006/relationships/hyperlink" Target="https://youxelteam.visualstudio.com/CheckNow/_workitems/edit/233934/?view=edit" TargetMode="External"/><Relationship Id="rId401" Type="http://schemas.openxmlformats.org/officeDocument/2006/relationships/hyperlink" Target="https://youxelteam.visualstudio.com/CheckNow/_workitems/edit/264492/?view=edit" TargetMode="External"/><Relationship Id="rId485" Type="http://schemas.openxmlformats.org/officeDocument/2006/relationships/hyperlink" Target="https://youxelteam.visualstudio.com/CheckNow/_workitems/edit/244767/?view=edit" TargetMode="External"/><Relationship Id="rId692" Type="http://schemas.openxmlformats.org/officeDocument/2006/relationships/hyperlink" Target="https://youxelteam.visualstudio.com/CheckNow/_workitems/edit/244758/?view=edit" TargetMode="External"/><Relationship Id="rId706" Type="http://schemas.openxmlformats.org/officeDocument/2006/relationships/hyperlink" Target="https://youxelteam.visualstudio.com/CheckNow/_workitems/edit/247312/?view=edit" TargetMode="External"/><Relationship Id="rId42" Type="http://schemas.openxmlformats.org/officeDocument/2006/relationships/hyperlink" Target="https://youxelteam.visualstudio.com/CheckNow/_workitems/edit/195968/?view=edit" TargetMode="External"/><Relationship Id="rId138" Type="http://schemas.openxmlformats.org/officeDocument/2006/relationships/hyperlink" Target="https://youxelteam.visualstudio.com/CheckNow/_workitems/edit/228961/?view=edit" TargetMode="External"/><Relationship Id="rId345" Type="http://schemas.openxmlformats.org/officeDocument/2006/relationships/hyperlink" Target="https://youxelteam.visualstudio.com/CheckNow/_workitems/edit/244756/?view=edit" TargetMode="External"/><Relationship Id="rId552" Type="http://schemas.openxmlformats.org/officeDocument/2006/relationships/hyperlink" Target="https://youxelteam.visualstudio.com/CheckNow/_workitems/edit/247310/?view=edit" TargetMode="External"/><Relationship Id="rId191" Type="http://schemas.openxmlformats.org/officeDocument/2006/relationships/hyperlink" Target="https://youxelteam.visualstudio.com/CheckNow/_workitems/edit/247323/?view=edit" TargetMode="External"/><Relationship Id="rId205" Type="http://schemas.openxmlformats.org/officeDocument/2006/relationships/hyperlink" Target="https://youxelteam.visualstudio.com/CheckNow/_workitems/edit/195968/?view=edit" TargetMode="External"/><Relationship Id="rId412" Type="http://schemas.openxmlformats.org/officeDocument/2006/relationships/hyperlink" Target="https://youxelteam.visualstudio.com/CheckNow/_workitems/edit/252825/?view=edit" TargetMode="External"/><Relationship Id="rId289" Type="http://schemas.openxmlformats.org/officeDocument/2006/relationships/hyperlink" Target="https://youxelteam.visualstudio.com/CheckNow/_workitems/edit/250832/?view=edit" TargetMode="External"/><Relationship Id="rId496" Type="http://schemas.openxmlformats.org/officeDocument/2006/relationships/hyperlink" Target="https://youxelteam.visualstudio.com/CheckNow/_workitems/edit/242629/?view=edit" TargetMode="External"/><Relationship Id="rId717" Type="http://schemas.openxmlformats.org/officeDocument/2006/relationships/hyperlink" Target="https://youxelteam.visualstudio.com/CheckNow/_workitems/edit/264492/?view=edit" TargetMode="External"/><Relationship Id="rId53" Type="http://schemas.openxmlformats.org/officeDocument/2006/relationships/hyperlink" Target="https://youxelteam.visualstudio.com/CheckNow/_workitems/edit/260177/?view=edit" TargetMode="External"/><Relationship Id="rId149" Type="http://schemas.openxmlformats.org/officeDocument/2006/relationships/hyperlink" Target="https://youxelteam.visualstudio.com/CheckNow/_workitems/edit/228961/?view=edit" TargetMode="External"/><Relationship Id="rId356" Type="http://schemas.openxmlformats.org/officeDocument/2006/relationships/hyperlink" Target="https://youxelteam.visualstudio.com/CheckNow/_workitems/edit/244758/?view=edit" TargetMode="External"/><Relationship Id="rId563" Type="http://schemas.openxmlformats.org/officeDocument/2006/relationships/hyperlink" Target="https://youxelteam.visualstudio.com/CheckNow/_workitems/edit/264492/?view=edit" TargetMode="External"/><Relationship Id="rId770" Type="http://schemas.openxmlformats.org/officeDocument/2006/relationships/hyperlink" Target="https://youxelteam.visualstudio.com/CheckNow/_workitems/edit/247302/?view=edit" TargetMode="External"/><Relationship Id="rId216" Type="http://schemas.openxmlformats.org/officeDocument/2006/relationships/hyperlink" Target="https://youxelteam.visualstudio.com/CheckNow/_workitems/edit/252836/?view=edit" TargetMode="External"/><Relationship Id="rId423" Type="http://schemas.openxmlformats.org/officeDocument/2006/relationships/hyperlink" Target="https://youxelteam.visualstudio.com/CheckNow/_workitems/edit/252825/?view=edit" TargetMode="External"/><Relationship Id="rId258" Type="http://schemas.openxmlformats.org/officeDocument/2006/relationships/hyperlink" Target="https://youxelteam.visualstudio.com/CheckNow/_workitems/edit/252825/?view=edit" TargetMode="External"/><Relationship Id="rId465" Type="http://schemas.openxmlformats.org/officeDocument/2006/relationships/hyperlink" Target="https://youxelteam.visualstudio.com/CheckNow/_workitems/edit/250832/?view=edit" TargetMode="External"/><Relationship Id="rId630" Type="http://schemas.openxmlformats.org/officeDocument/2006/relationships/hyperlink" Target="https://youxelteam.visualstudio.com/CheckNow/_workitems/edit/250832/?view=edit" TargetMode="External"/><Relationship Id="rId672" Type="http://schemas.openxmlformats.org/officeDocument/2006/relationships/hyperlink" Target="https://youxelteam.visualstudio.com/CheckNow/_workitems/edit/244768/?view=edit" TargetMode="External"/><Relationship Id="rId728" Type="http://schemas.openxmlformats.org/officeDocument/2006/relationships/hyperlink" Target="https://youxelteam.visualstudio.com/CheckNow/_workitems/edit/252825/?view=edit" TargetMode="External"/><Relationship Id="rId22" Type="http://schemas.openxmlformats.org/officeDocument/2006/relationships/hyperlink" Target="https://youxelteam.visualstudio.com/CheckNow/_workitems/edit/241399/?view=edit" TargetMode="External"/><Relationship Id="rId64" Type="http://schemas.openxmlformats.org/officeDocument/2006/relationships/hyperlink" Target="https://youxelteam.visualstudio.com/CheckNow/_workitems/edit/227974/?view=edit" TargetMode="External"/><Relationship Id="rId118" Type="http://schemas.openxmlformats.org/officeDocument/2006/relationships/hyperlink" Target="https://youxelteam.visualstudio.com/CheckNow/_workitems/edit/244770/?view=edit" TargetMode="External"/><Relationship Id="rId325" Type="http://schemas.openxmlformats.org/officeDocument/2006/relationships/hyperlink" Target="https://youxelteam.visualstudio.com/CheckNow/_workitems/edit/244764/?view=edit" TargetMode="External"/><Relationship Id="rId367" Type="http://schemas.openxmlformats.org/officeDocument/2006/relationships/hyperlink" Target="https://youxelteam.visualstudio.com/CheckNow/_workitems/edit/247302/?view=edit" TargetMode="External"/><Relationship Id="rId532" Type="http://schemas.openxmlformats.org/officeDocument/2006/relationships/hyperlink" Target="https://youxelteam.visualstudio.com/CheckNow/_workitems/edit/247302/?view=edit" TargetMode="External"/><Relationship Id="rId574" Type="http://schemas.openxmlformats.org/officeDocument/2006/relationships/hyperlink" Target="https://youxelteam.visualstudio.com/CheckNow/_workitems/edit/252825/?view=edit" TargetMode="External"/><Relationship Id="rId171" Type="http://schemas.openxmlformats.org/officeDocument/2006/relationships/hyperlink" Target="https://youxelteam.visualstudio.com/CheckNow/_workitems/edit/195967/?view=edit" TargetMode="External"/><Relationship Id="rId227" Type="http://schemas.openxmlformats.org/officeDocument/2006/relationships/hyperlink" Target="https://youxelteam.visualstudio.com/CheckNow/_workitems/edit/264494/?view=edit" TargetMode="External"/><Relationship Id="rId781" Type="http://schemas.openxmlformats.org/officeDocument/2006/relationships/hyperlink" Target="https://youxelteam.visualstudio.com/CheckNow/_workitems/edit/247314/?view=edit" TargetMode="External"/><Relationship Id="rId269" Type="http://schemas.openxmlformats.org/officeDocument/2006/relationships/hyperlink" Target="https://youxelteam.visualstudio.com/CheckNow/_workitems/edit/263833/?view=edit" TargetMode="External"/><Relationship Id="rId434" Type="http://schemas.openxmlformats.org/officeDocument/2006/relationships/hyperlink" Target="https://youxelteam.visualstudio.com/CheckNow/_workitems/edit/262102/?view=edit" TargetMode="External"/><Relationship Id="rId476" Type="http://schemas.openxmlformats.org/officeDocument/2006/relationships/hyperlink" Target="https://youxelteam.visualstudio.com/CheckNow/_workitems/edit/250832/?view=edit" TargetMode="External"/><Relationship Id="rId641" Type="http://schemas.openxmlformats.org/officeDocument/2006/relationships/hyperlink" Target="https://youxelteam.visualstudio.com/CheckNow/_workitems/edit/250832/?view=edit" TargetMode="External"/><Relationship Id="rId683" Type="http://schemas.openxmlformats.org/officeDocument/2006/relationships/hyperlink" Target="https://youxelteam.visualstudio.com/CheckNow/_workitems/edit/244761/?view=edit" TargetMode="External"/><Relationship Id="rId739" Type="http://schemas.openxmlformats.org/officeDocument/2006/relationships/hyperlink" Target="https://youxelteam.visualstudio.com/CheckNow/_workitems/edit/252825/?view=edit" TargetMode="External"/><Relationship Id="rId33" Type="http://schemas.openxmlformats.org/officeDocument/2006/relationships/hyperlink" Target="https://youxelteam.visualstudio.com/CheckNow/_workitems/edit/195968/?view=edit" TargetMode="External"/><Relationship Id="rId129" Type="http://schemas.openxmlformats.org/officeDocument/2006/relationships/hyperlink" Target="https://youxelteam.visualstudio.com/CheckNow/_workitems/edit/244768/?view=edit" TargetMode="External"/><Relationship Id="rId280" Type="http://schemas.openxmlformats.org/officeDocument/2006/relationships/hyperlink" Target="https://youxelteam.visualstudio.com/CheckNow/_workitems/edit/255495/?view=edit" TargetMode="External"/><Relationship Id="rId336" Type="http://schemas.openxmlformats.org/officeDocument/2006/relationships/hyperlink" Target="https://youxelteam.visualstudio.com/CheckNow/_workitems/edit/244768/?view=edit" TargetMode="External"/><Relationship Id="rId501" Type="http://schemas.openxmlformats.org/officeDocument/2006/relationships/hyperlink" Target="https://youxelteam.visualstudio.com/CheckNow/_workitems/edit/244768/?view=edit" TargetMode="External"/><Relationship Id="rId543" Type="http://schemas.openxmlformats.org/officeDocument/2006/relationships/hyperlink" Target="https://youxelteam.visualstudio.com/CheckNow/_workitems/edit/247324/?view=edit" TargetMode="External"/><Relationship Id="rId75" Type="http://schemas.openxmlformats.org/officeDocument/2006/relationships/hyperlink" Target="https://youxelteam.visualstudio.com/CheckNow/_workitems/edit/250832/?view=edit" TargetMode="External"/><Relationship Id="rId140" Type="http://schemas.openxmlformats.org/officeDocument/2006/relationships/hyperlink" Target="https://youxelteam.visualstudio.com/CheckNow/_workitems/edit/244756/?view=edit" TargetMode="External"/><Relationship Id="rId182" Type="http://schemas.openxmlformats.org/officeDocument/2006/relationships/hyperlink" Target="https://youxelteam.visualstudio.com/CheckNow/_workitems/edit/195968/?view=edit" TargetMode="External"/><Relationship Id="rId378" Type="http://schemas.openxmlformats.org/officeDocument/2006/relationships/hyperlink" Target="https://youxelteam.visualstudio.com/CheckNow/_workitems/edit/247321/?view=edit" TargetMode="External"/><Relationship Id="rId403" Type="http://schemas.openxmlformats.org/officeDocument/2006/relationships/hyperlink" Target="https://youxelteam.visualstudio.com/CheckNow/_workitems/edit/264494/?view=edit" TargetMode="External"/><Relationship Id="rId585" Type="http://schemas.openxmlformats.org/officeDocument/2006/relationships/hyperlink" Target="https://youxelteam.visualstudio.com/CheckNow/_workitems/edit/252825/?view=edit" TargetMode="External"/><Relationship Id="rId750" Type="http://schemas.openxmlformats.org/officeDocument/2006/relationships/hyperlink" Target="https://youxelteam.visualstudio.com/CheckNow/_workitems/edit/252825/?view=edit" TargetMode="External"/><Relationship Id="rId6" Type="http://schemas.openxmlformats.org/officeDocument/2006/relationships/hyperlink" Target="https://youxelteam.visualstudio.com/CheckNow/_workitems/edit/227974/?view=edit" TargetMode="External"/><Relationship Id="rId238" Type="http://schemas.openxmlformats.org/officeDocument/2006/relationships/hyperlink" Target="https://youxelteam.visualstudio.com/CheckNow/_workitems/edit/252825/?view=edit" TargetMode="External"/><Relationship Id="rId445" Type="http://schemas.openxmlformats.org/officeDocument/2006/relationships/hyperlink" Target="https://youxelteam.visualstudio.com/CheckNow/_workitems/edit/260177/?view=edit" TargetMode="External"/><Relationship Id="rId487" Type="http://schemas.openxmlformats.org/officeDocument/2006/relationships/hyperlink" Target="https://youxelteam.visualstudio.com/CheckNow/_workitems/edit/244767/?view=edit" TargetMode="External"/><Relationship Id="rId610" Type="http://schemas.openxmlformats.org/officeDocument/2006/relationships/hyperlink" Target="https://youxelteam.visualstudio.com/CheckNow/_workitems/edit/242628/?view=edit" TargetMode="External"/><Relationship Id="rId652" Type="http://schemas.openxmlformats.org/officeDocument/2006/relationships/hyperlink" Target="https://youxelteam.visualstudio.com/CheckNow/_workitems/edit/247747/?view=edit" TargetMode="External"/><Relationship Id="rId694" Type="http://schemas.openxmlformats.org/officeDocument/2006/relationships/hyperlink" Target="https://youxelteam.visualstudio.com/CheckNow/_workitems/edit/263834/?view=edit" TargetMode="External"/><Relationship Id="rId708" Type="http://schemas.openxmlformats.org/officeDocument/2006/relationships/hyperlink" Target="https://youxelteam.visualstudio.com/CheckNow/_workitems/edit/247310/?view=edit" TargetMode="External"/><Relationship Id="rId291" Type="http://schemas.openxmlformats.org/officeDocument/2006/relationships/hyperlink" Target="https://youxelteam.visualstudio.com/CheckNow/_workitems/edit/250832/?view=edit" TargetMode="External"/><Relationship Id="rId305" Type="http://schemas.openxmlformats.org/officeDocument/2006/relationships/hyperlink" Target="https://youxelteam.visualstudio.com/CheckNow/_workitems/edit/250832/?view=edit" TargetMode="External"/><Relationship Id="rId347" Type="http://schemas.openxmlformats.org/officeDocument/2006/relationships/hyperlink" Target="https://youxelteam.visualstudio.com/CheckNow/_workitems/edit/244761/?view=edit" TargetMode="External"/><Relationship Id="rId512" Type="http://schemas.openxmlformats.org/officeDocument/2006/relationships/hyperlink" Target="https://youxelteam.visualstudio.com/CheckNow/_workitems/edit/244761/?view=edit" TargetMode="External"/><Relationship Id="rId44" Type="http://schemas.openxmlformats.org/officeDocument/2006/relationships/hyperlink" Target="https://youxelteam.visualstudio.com/CheckNow/_workitems/edit/195969/?view=edit" TargetMode="External"/><Relationship Id="rId86" Type="http://schemas.openxmlformats.org/officeDocument/2006/relationships/hyperlink" Target="https://youxelteam.visualstudio.com/CheckNow/_workitems/edit/250832/?view=edit" TargetMode="External"/><Relationship Id="rId151" Type="http://schemas.openxmlformats.org/officeDocument/2006/relationships/hyperlink" Target="https://youxelteam.visualstudio.com/CheckNow/_workitems/edit/244757/?view=edit" TargetMode="External"/><Relationship Id="rId389" Type="http://schemas.openxmlformats.org/officeDocument/2006/relationships/hyperlink" Target="https://youxelteam.visualstudio.com/CheckNow/_workitems/edit/247310/?view=edit" TargetMode="External"/><Relationship Id="rId554" Type="http://schemas.openxmlformats.org/officeDocument/2006/relationships/hyperlink" Target="https://youxelteam.visualstudio.com/CheckNow/_workitems/edit/247310/?view=edit" TargetMode="External"/><Relationship Id="rId596" Type="http://schemas.openxmlformats.org/officeDocument/2006/relationships/hyperlink" Target="https://youxelteam.visualstudio.com/CheckNow/_workitems/edit/252825/?view=edit" TargetMode="External"/><Relationship Id="rId761" Type="http://schemas.openxmlformats.org/officeDocument/2006/relationships/hyperlink" Target="https://youxelteam.visualstudio.com/CheckNow/_workitems/edit/242628/?view=edit" TargetMode="External"/><Relationship Id="rId193" Type="http://schemas.openxmlformats.org/officeDocument/2006/relationships/hyperlink" Target="https://youxelteam.visualstudio.com/CheckNow/_workitems/edit/247308/?view=edit" TargetMode="External"/><Relationship Id="rId207" Type="http://schemas.openxmlformats.org/officeDocument/2006/relationships/hyperlink" Target="https://youxelteam.visualstudio.com/CheckNow/_workitems/edit/247310/?view=edit" TargetMode="External"/><Relationship Id="rId249" Type="http://schemas.openxmlformats.org/officeDocument/2006/relationships/hyperlink" Target="https://youxelteam.visualstudio.com/CheckNow/_workitems/edit/252825/?view=edit" TargetMode="External"/><Relationship Id="rId414" Type="http://schemas.openxmlformats.org/officeDocument/2006/relationships/hyperlink" Target="https://youxelteam.visualstudio.com/CheckNow/_workitems/edit/252825/?view=edit" TargetMode="External"/><Relationship Id="rId456" Type="http://schemas.openxmlformats.org/officeDocument/2006/relationships/hyperlink" Target="https://youxelteam.visualstudio.com/CheckNow/_workitems/edit/250832/?view=edit" TargetMode="External"/><Relationship Id="rId498" Type="http://schemas.openxmlformats.org/officeDocument/2006/relationships/hyperlink" Target="https://youxelteam.visualstudio.com/CheckNow/_workitems/edit/244768/?view=edit" TargetMode="External"/><Relationship Id="rId621" Type="http://schemas.openxmlformats.org/officeDocument/2006/relationships/hyperlink" Target="https://youxelteam.visualstudio.com/CheckNow/_workitems/edit/233816/?view=edit" TargetMode="External"/><Relationship Id="rId663" Type="http://schemas.openxmlformats.org/officeDocument/2006/relationships/hyperlink" Target="https://youxelteam.visualstudio.com/CheckNow/_workitems/edit/244764/?view=edit" TargetMode="External"/><Relationship Id="rId13" Type="http://schemas.openxmlformats.org/officeDocument/2006/relationships/hyperlink" Target="https://youxelteam.visualstudio.com/CheckNow/_workitems/edit/228960/?view=edit" TargetMode="External"/><Relationship Id="rId109" Type="http://schemas.openxmlformats.org/officeDocument/2006/relationships/hyperlink" Target="https://youxelteam.visualstudio.com/CheckNow/_workitems/edit/244767/?view=edit" TargetMode="External"/><Relationship Id="rId260" Type="http://schemas.openxmlformats.org/officeDocument/2006/relationships/hyperlink" Target="https://youxelteam.visualstudio.com/CheckNow/_workitems/edit/262102/?view=edit" TargetMode="External"/><Relationship Id="rId316" Type="http://schemas.openxmlformats.org/officeDocument/2006/relationships/hyperlink" Target="https://youxelteam.visualstudio.com/CheckNow/_workitems/edit/247748/?view=edit" TargetMode="External"/><Relationship Id="rId523" Type="http://schemas.openxmlformats.org/officeDocument/2006/relationships/hyperlink" Target="https://youxelteam.visualstudio.com/CheckNow/_workitems/edit/263534/?view=edit" TargetMode="External"/><Relationship Id="rId719" Type="http://schemas.openxmlformats.org/officeDocument/2006/relationships/hyperlink" Target="https://youxelteam.visualstudio.com/CheckNow/_workitems/edit/264492/?view=edit" TargetMode="External"/><Relationship Id="rId55" Type="http://schemas.openxmlformats.org/officeDocument/2006/relationships/hyperlink" Target="https://youxelteam.visualstudio.com/CheckNow/_workitems/edit/251892/?view=edit" TargetMode="External"/><Relationship Id="rId97" Type="http://schemas.openxmlformats.org/officeDocument/2006/relationships/hyperlink" Target="https://youxelteam.visualstudio.com/CheckNow/_workitems/edit/242628/?view=edit" TargetMode="External"/><Relationship Id="rId120" Type="http://schemas.openxmlformats.org/officeDocument/2006/relationships/hyperlink" Target="https://youxelteam.visualstudio.com/CheckNow/_workitems/edit/228960/?view=edit" TargetMode="External"/><Relationship Id="rId358" Type="http://schemas.openxmlformats.org/officeDocument/2006/relationships/hyperlink" Target="https://youxelteam.visualstudio.com/CheckNow/_workitems/edit/263534/?view=edit" TargetMode="External"/><Relationship Id="rId565" Type="http://schemas.openxmlformats.org/officeDocument/2006/relationships/hyperlink" Target="https://youxelteam.visualstudio.com/CheckNow/_workitems/edit/264492/?view=edit" TargetMode="External"/><Relationship Id="rId730" Type="http://schemas.openxmlformats.org/officeDocument/2006/relationships/hyperlink" Target="https://youxelteam.visualstudio.com/CheckNow/_workitems/edit/252825/?view=edit" TargetMode="External"/><Relationship Id="rId772" Type="http://schemas.openxmlformats.org/officeDocument/2006/relationships/hyperlink" Target="https://youxelteam.visualstudio.com/CheckNow/_workitems/edit/247304/?view=edit" TargetMode="External"/><Relationship Id="rId162" Type="http://schemas.openxmlformats.org/officeDocument/2006/relationships/hyperlink" Target="https://youxelteam.visualstudio.com/CheckNow/_workitems/edit/263834/?view=edit" TargetMode="External"/><Relationship Id="rId218" Type="http://schemas.openxmlformats.org/officeDocument/2006/relationships/hyperlink" Target="https://youxelteam.visualstudio.com/CheckNow/_workitems/edit/252836/?view=edit" TargetMode="External"/><Relationship Id="rId425" Type="http://schemas.openxmlformats.org/officeDocument/2006/relationships/hyperlink" Target="https://youxelteam.visualstudio.com/CheckNow/_workitems/edit/252825/?view=edit" TargetMode="External"/><Relationship Id="rId467" Type="http://schemas.openxmlformats.org/officeDocument/2006/relationships/hyperlink" Target="https://youxelteam.visualstudio.com/CheckNow/_workitems/edit/250832/?view=edit" TargetMode="External"/><Relationship Id="rId632" Type="http://schemas.openxmlformats.org/officeDocument/2006/relationships/hyperlink" Target="https://youxelteam.visualstudio.com/CheckNow/_workitems/edit/250832/?view=edit" TargetMode="External"/><Relationship Id="rId271" Type="http://schemas.openxmlformats.org/officeDocument/2006/relationships/hyperlink" Target="https://youxelteam.visualstudio.com/CheckNow/_workitems/edit/263833/?view=edit" TargetMode="External"/><Relationship Id="rId674" Type="http://schemas.openxmlformats.org/officeDocument/2006/relationships/hyperlink" Target="https://youxelteam.visualstudio.com/CheckNow/_workitems/edit/244768/?view=edit" TargetMode="External"/><Relationship Id="rId24" Type="http://schemas.openxmlformats.org/officeDocument/2006/relationships/hyperlink" Target="https://youxelteam.visualstudio.com/CheckNow/_workitems/edit/195967/?view=edit" TargetMode="External"/><Relationship Id="rId66" Type="http://schemas.openxmlformats.org/officeDocument/2006/relationships/hyperlink" Target="https://youxelteam.visualstudio.com/CheckNow/_workitems/edit/250832/?view=edit" TargetMode="External"/><Relationship Id="rId131" Type="http://schemas.openxmlformats.org/officeDocument/2006/relationships/hyperlink" Target="https://youxelteam.visualstudio.com/CheckNow/_workitems/edit/244768/?view=edit" TargetMode="External"/><Relationship Id="rId327" Type="http://schemas.openxmlformats.org/officeDocument/2006/relationships/hyperlink" Target="https://youxelteam.visualstudio.com/CheckNow/_workitems/edit/244770/?view=edit" TargetMode="External"/><Relationship Id="rId369" Type="http://schemas.openxmlformats.org/officeDocument/2006/relationships/hyperlink" Target="https://youxelteam.visualstudio.com/CheckNow/_workitems/edit/253676/?view=edit" TargetMode="External"/><Relationship Id="rId534" Type="http://schemas.openxmlformats.org/officeDocument/2006/relationships/hyperlink" Target="https://youxelteam.visualstudio.com/CheckNow/_workitems/edit/253676/?view=edit" TargetMode="External"/><Relationship Id="rId576" Type="http://schemas.openxmlformats.org/officeDocument/2006/relationships/hyperlink" Target="https://youxelteam.visualstudio.com/CheckNow/_workitems/edit/252825/?view=edit" TargetMode="External"/><Relationship Id="rId741" Type="http://schemas.openxmlformats.org/officeDocument/2006/relationships/hyperlink" Target="https://youxelteam.visualstudio.com/CheckNow/_workitems/edit/252825/?view=edit" TargetMode="External"/><Relationship Id="rId783" Type="http://schemas.openxmlformats.org/officeDocument/2006/relationships/hyperlink" Target="https://youxelteam.visualstudio.com/CheckNow/_workitems/edit/247312/?view=edit" TargetMode="External"/><Relationship Id="rId173" Type="http://schemas.openxmlformats.org/officeDocument/2006/relationships/hyperlink" Target="https://youxelteam.visualstudio.com/CheckNow/_workitems/edit/253676/?view=edit" TargetMode="External"/><Relationship Id="rId229" Type="http://schemas.openxmlformats.org/officeDocument/2006/relationships/hyperlink" Target="https://youxelteam.visualstudio.com/CheckNow/_workitems/edit/193289/?view=edit" TargetMode="External"/><Relationship Id="rId380" Type="http://schemas.openxmlformats.org/officeDocument/2006/relationships/hyperlink" Target="https://youxelteam.visualstudio.com/CheckNow/_workitems/edit/247323/?view=edit" TargetMode="External"/><Relationship Id="rId436" Type="http://schemas.openxmlformats.org/officeDocument/2006/relationships/hyperlink" Target="https://youxelteam.visualstudio.com/CheckNow/_workitems/edit/263833/?view=edit" TargetMode="External"/><Relationship Id="rId601" Type="http://schemas.openxmlformats.org/officeDocument/2006/relationships/hyperlink" Target="https://youxelteam.visualstudio.com/CheckNow/_workitems/edit/263833/?view=edit" TargetMode="External"/><Relationship Id="rId643" Type="http://schemas.openxmlformats.org/officeDocument/2006/relationships/hyperlink" Target="https://youxelteam.visualstudio.com/CheckNow/_workitems/edit/250832/?view=edit" TargetMode="External"/><Relationship Id="rId240" Type="http://schemas.openxmlformats.org/officeDocument/2006/relationships/hyperlink" Target="https://youxelteam.visualstudio.com/CheckNow/_workitems/edit/252825/?view=edit" TargetMode="External"/><Relationship Id="rId478" Type="http://schemas.openxmlformats.org/officeDocument/2006/relationships/hyperlink" Target="https://youxelteam.visualstudio.com/CheckNow/_workitems/edit/242628/?view=edit" TargetMode="External"/><Relationship Id="rId685" Type="http://schemas.openxmlformats.org/officeDocument/2006/relationships/hyperlink" Target="https://youxelteam.visualstudio.com/CheckNow/_workitems/edit/244761/?view=edit" TargetMode="External"/><Relationship Id="rId35" Type="http://schemas.openxmlformats.org/officeDocument/2006/relationships/hyperlink" Target="https://youxelteam.visualstudio.com/CheckNow/_workitems/edit/195968/?view=edit" TargetMode="External"/><Relationship Id="rId77" Type="http://schemas.openxmlformats.org/officeDocument/2006/relationships/hyperlink" Target="https://youxelteam.visualstudio.com/CheckNow/_workitems/edit/250832/?view=edit" TargetMode="External"/><Relationship Id="rId100" Type="http://schemas.openxmlformats.org/officeDocument/2006/relationships/hyperlink" Target="https://youxelteam.visualstudio.com/CheckNow/_workitems/edit/247747/?view=edit" TargetMode="External"/><Relationship Id="rId282" Type="http://schemas.openxmlformats.org/officeDocument/2006/relationships/hyperlink" Target="https://youxelteam.visualstudio.com/CheckNow/_workitems/edit/250832/?view=edit" TargetMode="External"/><Relationship Id="rId338" Type="http://schemas.openxmlformats.org/officeDocument/2006/relationships/hyperlink" Target="https://youxelteam.visualstudio.com/CheckNow/_workitems/edit/244768/?view=edit" TargetMode="External"/><Relationship Id="rId503" Type="http://schemas.openxmlformats.org/officeDocument/2006/relationships/hyperlink" Target="https://youxelteam.visualstudio.com/CheckNow/_workitems/edit/244768/?view=edit" TargetMode="External"/><Relationship Id="rId545" Type="http://schemas.openxmlformats.org/officeDocument/2006/relationships/hyperlink" Target="https://youxelteam.visualstudio.com/CheckNow/_workitems/edit/247308/?view=edit" TargetMode="External"/><Relationship Id="rId587" Type="http://schemas.openxmlformats.org/officeDocument/2006/relationships/hyperlink" Target="https://youxelteam.visualstudio.com/CheckNow/_workitems/edit/252825/?view=edit" TargetMode="External"/><Relationship Id="rId710" Type="http://schemas.openxmlformats.org/officeDocument/2006/relationships/hyperlink" Target="https://youxelteam.visualstudio.com/CheckNow/_workitems/edit/252836/?view=edit" TargetMode="External"/><Relationship Id="rId752" Type="http://schemas.openxmlformats.org/officeDocument/2006/relationships/hyperlink" Target="https://youxelteam.visualstudio.com/CheckNow/_workitems/edit/263833/?view=edit" TargetMode="External"/><Relationship Id="rId8" Type="http://schemas.openxmlformats.org/officeDocument/2006/relationships/hyperlink" Target="https://youxelteam.visualstudio.com/CheckNow/_workitems/edit/228960/?view=edit" TargetMode="External"/><Relationship Id="rId142" Type="http://schemas.openxmlformats.org/officeDocument/2006/relationships/hyperlink" Target="https://youxelteam.visualstudio.com/CheckNow/_workitems/edit/228960/?view=edit" TargetMode="External"/><Relationship Id="rId184" Type="http://schemas.openxmlformats.org/officeDocument/2006/relationships/hyperlink" Target="https://youxelteam.visualstudio.com/CheckNow/_workitems/edit/195968/?view=edit" TargetMode="External"/><Relationship Id="rId391" Type="http://schemas.openxmlformats.org/officeDocument/2006/relationships/hyperlink" Target="https://youxelteam.visualstudio.com/CheckNow/_workitems/edit/247319/?view=edit" TargetMode="External"/><Relationship Id="rId405" Type="http://schemas.openxmlformats.org/officeDocument/2006/relationships/hyperlink" Target="https://youxelteam.visualstudio.com/CheckNow/_workitems/edit/252825/?view=edit" TargetMode="External"/><Relationship Id="rId447" Type="http://schemas.openxmlformats.org/officeDocument/2006/relationships/hyperlink" Target="https://youxelteam.visualstudio.com/CheckNow/_workitems/edit/251892/?view=edit" TargetMode="External"/><Relationship Id="rId612" Type="http://schemas.openxmlformats.org/officeDocument/2006/relationships/hyperlink" Target="https://youxelteam.visualstudio.com/CheckNow/_workitems/edit/242628/?view=edit" TargetMode="External"/><Relationship Id="rId251" Type="http://schemas.openxmlformats.org/officeDocument/2006/relationships/hyperlink" Target="https://youxelteam.visualstudio.com/CheckNow/_workitems/edit/252825/?view=edit" TargetMode="External"/><Relationship Id="rId489" Type="http://schemas.openxmlformats.org/officeDocument/2006/relationships/hyperlink" Target="https://youxelteam.visualstudio.com/CheckNow/_workitems/edit/244767/?view=edit" TargetMode="External"/><Relationship Id="rId654" Type="http://schemas.openxmlformats.org/officeDocument/2006/relationships/hyperlink" Target="https://youxelteam.visualstudio.com/CheckNow/_workitems/edit/244767/?view=edit" TargetMode="External"/><Relationship Id="rId696" Type="http://schemas.openxmlformats.org/officeDocument/2006/relationships/hyperlink" Target="https://youxelteam.visualstudio.com/CheckNow/_workitems/edit/263834/?view=edit" TargetMode="External"/><Relationship Id="rId46" Type="http://schemas.openxmlformats.org/officeDocument/2006/relationships/hyperlink" Target="https://youxelteam.visualstudio.com/CheckNow/_workitems/edit/195969/?view=edit" TargetMode="External"/><Relationship Id="rId293" Type="http://schemas.openxmlformats.org/officeDocument/2006/relationships/hyperlink" Target="https://youxelteam.visualstudio.com/CheckNow/_workitems/edit/250832/?view=edit" TargetMode="External"/><Relationship Id="rId307" Type="http://schemas.openxmlformats.org/officeDocument/2006/relationships/hyperlink" Target="https://youxelteam.visualstudio.com/CheckNow/_workitems/edit/242628/?view=edit" TargetMode="External"/><Relationship Id="rId349" Type="http://schemas.openxmlformats.org/officeDocument/2006/relationships/hyperlink" Target="https://youxelteam.visualstudio.com/CheckNow/_workitems/edit/244761/?view=edit" TargetMode="External"/><Relationship Id="rId514" Type="http://schemas.openxmlformats.org/officeDocument/2006/relationships/hyperlink" Target="https://youxelteam.visualstudio.com/CheckNow/_workitems/edit/244761/?view=edit" TargetMode="External"/><Relationship Id="rId556" Type="http://schemas.openxmlformats.org/officeDocument/2006/relationships/hyperlink" Target="https://youxelteam.visualstudio.com/CheckNow/_workitems/edit/247311/?view=edit" TargetMode="External"/><Relationship Id="rId721" Type="http://schemas.openxmlformats.org/officeDocument/2006/relationships/hyperlink" Target="https://youxelteam.visualstudio.com/CheckNow/_workitems/edit/264494/?view=edit" TargetMode="External"/><Relationship Id="rId763" Type="http://schemas.openxmlformats.org/officeDocument/2006/relationships/hyperlink" Target="https://youxelteam.visualstudio.com/CheckNow/_workitems/edit/242628/?view=edit" TargetMode="External"/><Relationship Id="rId88" Type="http://schemas.openxmlformats.org/officeDocument/2006/relationships/hyperlink" Target="https://youxelteam.visualstudio.com/CheckNow/_workitems/edit/250832/?view=edit" TargetMode="External"/><Relationship Id="rId111" Type="http://schemas.openxmlformats.org/officeDocument/2006/relationships/hyperlink" Target="https://youxelteam.visualstudio.com/CheckNow/_workitems/edit/244767/?view=edit" TargetMode="External"/><Relationship Id="rId153" Type="http://schemas.openxmlformats.org/officeDocument/2006/relationships/hyperlink" Target="https://youxelteam.visualstudio.com/CheckNow/_workitems/edit/244758/?view=edit" TargetMode="External"/><Relationship Id="rId195" Type="http://schemas.openxmlformats.org/officeDocument/2006/relationships/hyperlink" Target="https://youxelteam.visualstudio.com/CheckNow/_workitems/edit/247315/?view=edit" TargetMode="External"/><Relationship Id="rId209" Type="http://schemas.openxmlformats.org/officeDocument/2006/relationships/hyperlink" Target="https://youxelteam.visualstudio.com/CheckNow/_workitems/edit/247310/?view=edit" TargetMode="External"/><Relationship Id="rId360" Type="http://schemas.openxmlformats.org/officeDocument/2006/relationships/hyperlink" Target="https://youxelteam.visualstudio.com/CheckNow/_workitems/edit/263534/?view=edit" TargetMode="External"/><Relationship Id="rId416" Type="http://schemas.openxmlformats.org/officeDocument/2006/relationships/hyperlink" Target="https://youxelteam.visualstudio.com/CheckNow/_workitems/edit/252825/?view=edit" TargetMode="External"/><Relationship Id="rId598" Type="http://schemas.openxmlformats.org/officeDocument/2006/relationships/hyperlink" Target="https://youxelteam.visualstudio.com/CheckNow/_workitems/edit/262102/?view=edit" TargetMode="External"/><Relationship Id="rId220" Type="http://schemas.openxmlformats.org/officeDocument/2006/relationships/hyperlink" Target="https://youxelteam.visualstudio.com/CheckNow/_workitems/edit/264492/?view=edit" TargetMode="External"/><Relationship Id="rId458" Type="http://schemas.openxmlformats.org/officeDocument/2006/relationships/hyperlink" Target="https://youxelteam.visualstudio.com/CheckNow/_workitems/edit/250832/?view=edit" TargetMode="External"/><Relationship Id="rId623" Type="http://schemas.openxmlformats.org/officeDocument/2006/relationships/hyperlink" Target="https://youxelteam.visualstudio.com/CheckNow/_workitems/edit/255495/?view=edit" TargetMode="External"/><Relationship Id="rId665" Type="http://schemas.openxmlformats.org/officeDocument/2006/relationships/hyperlink" Target="https://youxelteam.visualstudio.com/CheckNow/_workitems/edit/242629/?view=edit" TargetMode="External"/><Relationship Id="rId15" Type="http://schemas.openxmlformats.org/officeDocument/2006/relationships/hyperlink" Target="https://youxelteam.visualstudio.com/CheckNow/_workitems/edit/228960/?view=edit" TargetMode="External"/><Relationship Id="rId57" Type="http://schemas.openxmlformats.org/officeDocument/2006/relationships/hyperlink" Target="https://youxelteam.visualstudio.com/CheckNow/_workitems/edit/228363/?view=edit" TargetMode="External"/><Relationship Id="rId262" Type="http://schemas.openxmlformats.org/officeDocument/2006/relationships/hyperlink" Target="https://youxelteam.visualstudio.com/CheckNow/_workitems/edit/260487/?view=edit" TargetMode="External"/><Relationship Id="rId318" Type="http://schemas.openxmlformats.org/officeDocument/2006/relationships/hyperlink" Target="https://youxelteam.visualstudio.com/CheckNow/_workitems/edit/244767/?view=edit" TargetMode="External"/><Relationship Id="rId525" Type="http://schemas.openxmlformats.org/officeDocument/2006/relationships/hyperlink" Target="https://youxelteam.visualstudio.com/CheckNow/_workitems/edit/263834/?view=edit" TargetMode="External"/><Relationship Id="rId567" Type="http://schemas.openxmlformats.org/officeDocument/2006/relationships/hyperlink" Target="https://youxelteam.visualstudio.com/CheckNow/_workitems/edit/264494/?view=edit" TargetMode="External"/><Relationship Id="rId732" Type="http://schemas.openxmlformats.org/officeDocument/2006/relationships/hyperlink" Target="https://youxelteam.visualstudio.com/CheckNow/_workitems/edit/252825/?view=edit" TargetMode="External"/><Relationship Id="rId99" Type="http://schemas.openxmlformats.org/officeDocument/2006/relationships/hyperlink" Target="https://youxelteam.visualstudio.com/CheckNow/_workitems/edit/228960/?view=edit" TargetMode="External"/><Relationship Id="rId122" Type="http://schemas.openxmlformats.org/officeDocument/2006/relationships/hyperlink" Target="https://youxelteam.visualstudio.com/CheckNow/_workitems/edit/242629/?view=edit" TargetMode="External"/><Relationship Id="rId164" Type="http://schemas.openxmlformats.org/officeDocument/2006/relationships/hyperlink" Target="https://youxelteam.visualstudio.com/CheckNow/_workitems/edit/263834/?view=edit" TargetMode="External"/><Relationship Id="rId371" Type="http://schemas.openxmlformats.org/officeDocument/2006/relationships/hyperlink" Target="https://youxelteam.visualstudio.com/CheckNow/_workitems/edit/253676/?view=edit" TargetMode="External"/><Relationship Id="rId774" Type="http://schemas.openxmlformats.org/officeDocument/2006/relationships/hyperlink" Target="https://youxelteam.visualstudio.com/CheckNow/_workitems/edit/247306/?view=edit" TargetMode="External"/><Relationship Id="rId427" Type="http://schemas.openxmlformats.org/officeDocument/2006/relationships/hyperlink" Target="https://youxelteam.visualstudio.com/CheckNow/_workitems/edit/252825/?view=edit" TargetMode="External"/><Relationship Id="rId469" Type="http://schemas.openxmlformats.org/officeDocument/2006/relationships/hyperlink" Target="https://youxelteam.visualstudio.com/CheckNow/_workitems/edit/250832/?view=edit" TargetMode="External"/><Relationship Id="rId634" Type="http://schemas.openxmlformats.org/officeDocument/2006/relationships/hyperlink" Target="https://youxelteam.visualstudio.com/CheckNow/_workitems/edit/250832/?view=edit" TargetMode="External"/><Relationship Id="rId676" Type="http://schemas.openxmlformats.org/officeDocument/2006/relationships/hyperlink" Target="https://youxelteam.visualstudio.com/CheckNow/_workitems/edit/244768/?view=edit" TargetMode="External"/><Relationship Id="rId26" Type="http://schemas.openxmlformats.org/officeDocument/2006/relationships/hyperlink" Target="https://youxelteam.visualstudio.com/CheckNow/_workitems/edit/195967/?view=edit" TargetMode="External"/><Relationship Id="rId231" Type="http://schemas.openxmlformats.org/officeDocument/2006/relationships/hyperlink" Target="https://youxelteam.visualstudio.com/CheckNow/_workitems/edit/252825/?view=edit" TargetMode="External"/><Relationship Id="rId273" Type="http://schemas.openxmlformats.org/officeDocument/2006/relationships/hyperlink" Target="https://youxelteam.visualstudio.com/CheckNow/_workitems/edit/260177/?view=edit" TargetMode="External"/><Relationship Id="rId329" Type="http://schemas.openxmlformats.org/officeDocument/2006/relationships/hyperlink" Target="https://youxelteam.visualstudio.com/CheckNow/_workitems/edit/242629/?view=edit" TargetMode="External"/><Relationship Id="rId480" Type="http://schemas.openxmlformats.org/officeDocument/2006/relationships/hyperlink" Target="https://youxelteam.visualstudio.com/CheckNow/_workitems/edit/242628/?view=edit" TargetMode="External"/><Relationship Id="rId536" Type="http://schemas.openxmlformats.org/officeDocument/2006/relationships/hyperlink" Target="https://youxelteam.visualstudio.com/CheckNow/_workitems/edit/253676/?view=edit" TargetMode="External"/><Relationship Id="rId701" Type="http://schemas.openxmlformats.org/officeDocument/2006/relationships/hyperlink" Target="https://youxelteam.visualstudio.com/CheckNow/_workitems/edit/253676/?view=edit" TargetMode="External"/><Relationship Id="rId68" Type="http://schemas.openxmlformats.org/officeDocument/2006/relationships/hyperlink" Target="https://youxelteam.visualstudio.com/CheckNow/_workitems/edit/250832/?view=edit" TargetMode="External"/><Relationship Id="rId133" Type="http://schemas.openxmlformats.org/officeDocument/2006/relationships/hyperlink" Target="https://youxelteam.visualstudio.com/CheckNow/_workitems/edit/244768/?view=edit" TargetMode="External"/><Relationship Id="rId175" Type="http://schemas.openxmlformats.org/officeDocument/2006/relationships/hyperlink" Target="https://youxelteam.visualstudio.com/CheckNow/_workitems/edit/253676/?view=edit" TargetMode="External"/><Relationship Id="rId340" Type="http://schemas.openxmlformats.org/officeDocument/2006/relationships/hyperlink" Target="https://youxelteam.visualstudio.com/CheckNow/_workitems/edit/244768/?view=edit" TargetMode="External"/><Relationship Id="rId578" Type="http://schemas.openxmlformats.org/officeDocument/2006/relationships/hyperlink" Target="https://youxelteam.visualstudio.com/CheckNow/_workitems/edit/252825/?view=edit" TargetMode="External"/><Relationship Id="rId743" Type="http://schemas.openxmlformats.org/officeDocument/2006/relationships/hyperlink" Target="https://youxelteam.visualstudio.com/CheckNow/_workitems/edit/252825/?view=edit" TargetMode="External"/><Relationship Id="rId785" Type="http://schemas.openxmlformats.org/officeDocument/2006/relationships/hyperlink" Target="https://youxelteam.visualstudio.com/CheckNow/_workitems/edit/247311/?view=edit" TargetMode="External"/><Relationship Id="rId200" Type="http://schemas.openxmlformats.org/officeDocument/2006/relationships/hyperlink" Target="https://youxelteam.visualstudio.com/CheckNow/_workitems/edit/195968/?view=edit" TargetMode="External"/><Relationship Id="rId382" Type="http://schemas.openxmlformats.org/officeDocument/2006/relationships/hyperlink" Target="https://youxelteam.visualstudio.com/CheckNow/_workitems/edit/247315/?view=edit" TargetMode="External"/><Relationship Id="rId438" Type="http://schemas.openxmlformats.org/officeDocument/2006/relationships/hyperlink" Target="https://youxelteam.visualstudio.com/CheckNow/_workitems/edit/263833/?view=edit" TargetMode="External"/><Relationship Id="rId603" Type="http://schemas.openxmlformats.org/officeDocument/2006/relationships/hyperlink" Target="https://youxelteam.visualstudio.com/CheckNow/_workitems/edit/263833/?view=edit" TargetMode="External"/><Relationship Id="rId645" Type="http://schemas.openxmlformats.org/officeDocument/2006/relationships/hyperlink" Target="https://youxelteam.visualstudio.com/CheckNow/_workitems/edit/250832/?view=edit" TargetMode="External"/><Relationship Id="rId687" Type="http://schemas.openxmlformats.org/officeDocument/2006/relationships/hyperlink" Target="https://youxelteam.visualstudio.com/CheckNow/_workitems/edit/244761/?view=edit" TargetMode="External"/><Relationship Id="rId242" Type="http://schemas.openxmlformats.org/officeDocument/2006/relationships/hyperlink" Target="https://youxelteam.visualstudio.com/CheckNow/_workitems/edit/252825/?view=edit" TargetMode="External"/><Relationship Id="rId284" Type="http://schemas.openxmlformats.org/officeDocument/2006/relationships/hyperlink" Target="https://youxelteam.visualstudio.com/CheckNow/_workitems/edit/250832/?view=edit" TargetMode="External"/><Relationship Id="rId491" Type="http://schemas.openxmlformats.org/officeDocument/2006/relationships/hyperlink" Target="https://youxelteam.visualstudio.com/CheckNow/_workitems/edit/244764/?view=edit" TargetMode="External"/><Relationship Id="rId505" Type="http://schemas.openxmlformats.org/officeDocument/2006/relationships/hyperlink" Target="https://youxelteam.visualstudio.com/CheckNow/_workitems/edit/244768/?view=edit" TargetMode="External"/><Relationship Id="rId712" Type="http://schemas.openxmlformats.org/officeDocument/2006/relationships/hyperlink" Target="https://youxelteam.visualstudio.com/CheckNow/_workitems/edit/252836/?view=edit" TargetMode="External"/><Relationship Id="rId37" Type="http://schemas.openxmlformats.org/officeDocument/2006/relationships/hyperlink" Target="https://youxelteam.visualstudio.com/CheckNow/_workitems/edit/195968/?view=edit" TargetMode="External"/><Relationship Id="rId79" Type="http://schemas.openxmlformats.org/officeDocument/2006/relationships/hyperlink" Target="https://youxelteam.visualstudio.com/CheckNow/_workitems/edit/250832/?view=edit" TargetMode="External"/><Relationship Id="rId102" Type="http://schemas.openxmlformats.org/officeDocument/2006/relationships/hyperlink" Target="https://youxelteam.visualstudio.com/CheckNow/_workitems/edit/228960/?view=edit" TargetMode="External"/><Relationship Id="rId144" Type="http://schemas.openxmlformats.org/officeDocument/2006/relationships/hyperlink" Target="https://youxelteam.visualstudio.com/CheckNow/_workitems/edit/244761/?view=edit" TargetMode="External"/><Relationship Id="rId547" Type="http://schemas.openxmlformats.org/officeDocument/2006/relationships/hyperlink" Target="https://youxelteam.visualstudio.com/CheckNow/_workitems/edit/247313/?view=edit" TargetMode="External"/><Relationship Id="rId589" Type="http://schemas.openxmlformats.org/officeDocument/2006/relationships/hyperlink" Target="https://youxelteam.visualstudio.com/CheckNow/_workitems/edit/252825/?view=edit" TargetMode="External"/><Relationship Id="rId754" Type="http://schemas.openxmlformats.org/officeDocument/2006/relationships/hyperlink" Target="https://youxelteam.visualstudio.com/CheckNow/_workitems/edit/263833/?view=edit" TargetMode="External"/><Relationship Id="rId90" Type="http://schemas.openxmlformats.org/officeDocument/2006/relationships/hyperlink" Target="https://youxelteam.visualstudio.com/CheckNow/_workitems/edit/228964/?view=edit" TargetMode="External"/><Relationship Id="rId186" Type="http://schemas.openxmlformats.org/officeDocument/2006/relationships/hyperlink" Target="https://youxelteam.visualstudio.com/CheckNow/_workitems/edit/195968/?view=edit" TargetMode="External"/><Relationship Id="rId351" Type="http://schemas.openxmlformats.org/officeDocument/2006/relationships/hyperlink" Target="https://youxelteam.visualstudio.com/CheckNow/_workitems/edit/244761/?view=edit" TargetMode="External"/><Relationship Id="rId393" Type="http://schemas.openxmlformats.org/officeDocument/2006/relationships/hyperlink" Target="https://youxelteam.visualstudio.com/CheckNow/_workitems/edit/252836/?view=edit" TargetMode="External"/><Relationship Id="rId407" Type="http://schemas.openxmlformats.org/officeDocument/2006/relationships/hyperlink" Target="https://youxelteam.visualstudio.com/CheckNow/_workitems/edit/252825/?view=edit" TargetMode="External"/><Relationship Id="rId449" Type="http://schemas.openxmlformats.org/officeDocument/2006/relationships/hyperlink" Target="https://youxelteam.visualstudio.com/CheckNow/_workitems/edit/233816/?view=edit" TargetMode="External"/><Relationship Id="rId614" Type="http://schemas.openxmlformats.org/officeDocument/2006/relationships/hyperlink" Target="https://youxelteam.visualstudio.com/CheckNow/_workitems/edit/247748/?view=edit" TargetMode="External"/><Relationship Id="rId656" Type="http://schemas.openxmlformats.org/officeDocument/2006/relationships/hyperlink" Target="https://youxelteam.visualstudio.com/CheckNow/_workitems/edit/244767/?view=edit" TargetMode="External"/><Relationship Id="rId211" Type="http://schemas.openxmlformats.org/officeDocument/2006/relationships/hyperlink" Target="https://youxelteam.visualstudio.com/CheckNow/_workitems/edit/247319/?view=edit" TargetMode="External"/><Relationship Id="rId253" Type="http://schemas.openxmlformats.org/officeDocument/2006/relationships/hyperlink" Target="https://youxelteam.visualstudio.com/CheckNow/_workitems/edit/252825/?view=edit" TargetMode="External"/><Relationship Id="rId295" Type="http://schemas.openxmlformats.org/officeDocument/2006/relationships/hyperlink" Target="https://youxelteam.visualstudio.com/CheckNow/_workitems/edit/250832/?view=edit" TargetMode="External"/><Relationship Id="rId309" Type="http://schemas.openxmlformats.org/officeDocument/2006/relationships/hyperlink" Target="https://youxelteam.visualstudio.com/CheckNow/_workitems/edit/242628/?view=edit" TargetMode="External"/><Relationship Id="rId460" Type="http://schemas.openxmlformats.org/officeDocument/2006/relationships/hyperlink" Target="https://youxelteam.visualstudio.com/CheckNow/_workitems/edit/250832/?view=edit" TargetMode="External"/><Relationship Id="rId516" Type="http://schemas.openxmlformats.org/officeDocument/2006/relationships/hyperlink" Target="https://youxelteam.visualstudio.com/CheckNow/_workitems/edit/244761/?view=edit" TargetMode="External"/><Relationship Id="rId698" Type="http://schemas.openxmlformats.org/officeDocument/2006/relationships/hyperlink" Target="https://youxelteam.visualstudio.com/CheckNow/_workitems/edit/264506/?view=edit" TargetMode="External"/><Relationship Id="rId48" Type="http://schemas.openxmlformats.org/officeDocument/2006/relationships/hyperlink" Target="https://youxelteam.visualstudio.com/CheckNow/_workitems/edit/240010/?view=edit" TargetMode="External"/><Relationship Id="rId113" Type="http://schemas.openxmlformats.org/officeDocument/2006/relationships/hyperlink" Target="https://youxelteam.visualstudio.com/CheckNow/_workitems/edit/244767/?view=edit" TargetMode="External"/><Relationship Id="rId320" Type="http://schemas.openxmlformats.org/officeDocument/2006/relationships/hyperlink" Target="https://youxelteam.visualstudio.com/CheckNow/_workitems/edit/244767/?view=edit" TargetMode="External"/><Relationship Id="rId558" Type="http://schemas.openxmlformats.org/officeDocument/2006/relationships/hyperlink" Target="https://youxelteam.visualstudio.com/CheckNow/_workitems/edit/252836/?view=edit" TargetMode="External"/><Relationship Id="rId723" Type="http://schemas.openxmlformats.org/officeDocument/2006/relationships/hyperlink" Target="https://youxelteam.visualstudio.com/CheckNow/_workitems/edit/252825/?view=edit" TargetMode="External"/><Relationship Id="rId765" Type="http://schemas.openxmlformats.org/officeDocument/2006/relationships/hyperlink" Target="https://youxelteam.visualstudio.com/CheckNow/_workitems/edit/247748/?view=edit" TargetMode="External"/><Relationship Id="rId155" Type="http://schemas.openxmlformats.org/officeDocument/2006/relationships/hyperlink" Target="https://youxelteam.visualstudio.com/CheckNow/_workitems/edit/244758/?view=edit" TargetMode="External"/><Relationship Id="rId197" Type="http://schemas.openxmlformats.org/officeDocument/2006/relationships/hyperlink" Target="https://youxelteam.visualstudio.com/CheckNow/_workitems/edit/247313/?view=edit" TargetMode="External"/><Relationship Id="rId362" Type="http://schemas.openxmlformats.org/officeDocument/2006/relationships/hyperlink" Target="https://youxelteam.visualstudio.com/CheckNow/_workitems/edit/263834/?view=edit" TargetMode="External"/><Relationship Id="rId418" Type="http://schemas.openxmlformats.org/officeDocument/2006/relationships/hyperlink" Target="https://youxelteam.visualstudio.com/CheckNow/_workitems/edit/252825/?view=edit" TargetMode="External"/><Relationship Id="rId625" Type="http://schemas.openxmlformats.org/officeDocument/2006/relationships/hyperlink" Target="https://youxelteam.visualstudio.com/CheckNow/_workitems/edit/250832/?view=edit" TargetMode="External"/><Relationship Id="rId222" Type="http://schemas.openxmlformats.org/officeDocument/2006/relationships/hyperlink" Target="https://youxelteam.visualstudio.com/CheckNow/_workitems/edit/264492/?view=edit" TargetMode="External"/><Relationship Id="rId264" Type="http://schemas.openxmlformats.org/officeDocument/2006/relationships/hyperlink" Target="https://youxelteam.visualstudio.com/CheckNow/_workitems/edit/263833/?view=edit" TargetMode="External"/><Relationship Id="rId471" Type="http://schemas.openxmlformats.org/officeDocument/2006/relationships/hyperlink" Target="https://youxelteam.visualstudio.com/CheckNow/_workitems/edit/250832/?view=edit" TargetMode="External"/><Relationship Id="rId667" Type="http://schemas.openxmlformats.org/officeDocument/2006/relationships/hyperlink" Target="https://youxelteam.visualstudio.com/CheckNow/_workitems/edit/242629/?view=edit" TargetMode="External"/><Relationship Id="rId17" Type="http://schemas.openxmlformats.org/officeDocument/2006/relationships/hyperlink" Target="https://youxelteam.visualstudio.com/CheckNow/_workitems/edit/228961/?view=edit" TargetMode="External"/><Relationship Id="rId59" Type="http://schemas.openxmlformats.org/officeDocument/2006/relationships/hyperlink" Target="https://youxelteam.visualstudio.com/CheckNow/_workitems/edit/228369/?view=edit" TargetMode="External"/><Relationship Id="rId124" Type="http://schemas.openxmlformats.org/officeDocument/2006/relationships/hyperlink" Target="https://youxelteam.visualstudio.com/CheckNow/_workitems/edit/242629/?view=edit" TargetMode="External"/><Relationship Id="rId527" Type="http://schemas.openxmlformats.org/officeDocument/2006/relationships/hyperlink" Target="https://youxelteam.visualstudio.com/CheckNow/_workitems/edit/263834/?view=edit" TargetMode="External"/><Relationship Id="rId569" Type="http://schemas.openxmlformats.org/officeDocument/2006/relationships/hyperlink" Target="https://youxelteam.visualstudio.com/CheckNow/_workitems/edit/252825/?view=edit" TargetMode="External"/><Relationship Id="rId734" Type="http://schemas.openxmlformats.org/officeDocument/2006/relationships/hyperlink" Target="https://youxelteam.visualstudio.com/CheckNow/_workitems/edit/252825/?view=edit" TargetMode="External"/><Relationship Id="rId776" Type="http://schemas.openxmlformats.org/officeDocument/2006/relationships/hyperlink" Target="https://youxelteam.visualstudio.com/CheckNow/_workitems/edit/247321/?view=edit" TargetMode="External"/><Relationship Id="rId70" Type="http://schemas.openxmlformats.org/officeDocument/2006/relationships/hyperlink" Target="https://youxelteam.visualstudio.com/CheckNow/_workitems/edit/250832/?view=edit" TargetMode="External"/><Relationship Id="rId166" Type="http://schemas.openxmlformats.org/officeDocument/2006/relationships/hyperlink" Target="https://youxelteam.visualstudio.com/CheckNow/_workitems/edit/264506/?view=edit" TargetMode="External"/><Relationship Id="rId331" Type="http://schemas.openxmlformats.org/officeDocument/2006/relationships/hyperlink" Target="https://youxelteam.visualstudio.com/CheckNow/_workitems/edit/242629/?view=edit" TargetMode="External"/><Relationship Id="rId373" Type="http://schemas.openxmlformats.org/officeDocument/2006/relationships/hyperlink" Target="https://youxelteam.visualstudio.com/CheckNow/_workitems/edit/247303/?view=edit" TargetMode="External"/><Relationship Id="rId429" Type="http://schemas.openxmlformats.org/officeDocument/2006/relationships/hyperlink" Target="https://youxelteam.visualstudio.com/CheckNow/_workitems/edit/252825/?view=edit" TargetMode="External"/><Relationship Id="rId580" Type="http://schemas.openxmlformats.org/officeDocument/2006/relationships/hyperlink" Target="https://youxelteam.visualstudio.com/CheckNow/_workitems/edit/252825/?view=edit" TargetMode="External"/><Relationship Id="rId636" Type="http://schemas.openxmlformats.org/officeDocument/2006/relationships/hyperlink" Target="https://youxelteam.visualstudio.com/CheckNow/_workitems/edit/250832/?view=edit" TargetMode="External"/><Relationship Id="rId1" Type="http://schemas.openxmlformats.org/officeDocument/2006/relationships/hyperlink" Target="https://youxelteam.visualstudio.com/CheckNow/_workitems/edit/260293/?view=edit" TargetMode="External"/><Relationship Id="rId233" Type="http://schemas.openxmlformats.org/officeDocument/2006/relationships/hyperlink" Target="https://youxelteam.visualstudio.com/CheckNow/_workitems/edit/252825/?view=edit" TargetMode="External"/><Relationship Id="rId440" Type="http://schemas.openxmlformats.org/officeDocument/2006/relationships/hyperlink" Target="https://youxelteam.visualstudio.com/CheckNow/_workitems/edit/263833/?view=edit" TargetMode="External"/><Relationship Id="rId678" Type="http://schemas.openxmlformats.org/officeDocument/2006/relationships/hyperlink" Target="https://youxelteam.visualstudio.com/CheckNow/_workitems/edit/244772/?view=edit" TargetMode="External"/><Relationship Id="rId28" Type="http://schemas.openxmlformats.org/officeDocument/2006/relationships/hyperlink" Target="https://youxelteam.visualstudio.com/CheckNow/_workitems/edit/195967/?view=edit" TargetMode="External"/><Relationship Id="rId275" Type="http://schemas.openxmlformats.org/officeDocument/2006/relationships/hyperlink" Target="https://youxelteam.visualstudio.com/CheckNow/_workitems/edit/251892/?view=edit" TargetMode="External"/><Relationship Id="rId300" Type="http://schemas.openxmlformats.org/officeDocument/2006/relationships/hyperlink" Target="https://youxelteam.visualstudio.com/CheckNow/_workitems/edit/250832/?view=edit" TargetMode="External"/><Relationship Id="rId482" Type="http://schemas.openxmlformats.org/officeDocument/2006/relationships/hyperlink" Target="https://youxelteam.visualstudio.com/CheckNow/_workitems/edit/247748/?view=edit" TargetMode="External"/><Relationship Id="rId538" Type="http://schemas.openxmlformats.org/officeDocument/2006/relationships/hyperlink" Target="https://youxelteam.visualstudio.com/CheckNow/_workitems/edit/247304/?view=edit" TargetMode="External"/><Relationship Id="rId703" Type="http://schemas.openxmlformats.org/officeDocument/2006/relationships/hyperlink" Target="https://youxelteam.visualstudio.com/CheckNow/_workitems/edit/253676/?view=edit" TargetMode="External"/><Relationship Id="rId745" Type="http://schemas.openxmlformats.org/officeDocument/2006/relationships/hyperlink" Target="https://youxelteam.visualstudio.com/CheckNow/_workitems/edit/252825/?view=edit" TargetMode="External"/><Relationship Id="rId81" Type="http://schemas.openxmlformats.org/officeDocument/2006/relationships/hyperlink" Target="https://youxelteam.visualstudio.com/CheckNow/_workitems/edit/250832/?view=edit" TargetMode="External"/><Relationship Id="rId135" Type="http://schemas.openxmlformats.org/officeDocument/2006/relationships/hyperlink" Target="https://youxelteam.visualstudio.com/CheckNow/_workitems/edit/228960/?view=edit" TargetMode="External"/><Relationship Id="rId177" Type="http://schemas.openxmlformats.org/officeDocument/2006/relationships/hyperlink" Target="https://youxelteam.visualstudio.com/CheckNow/_workitems/edit/247303/?view=edit" TargetMode="External"/><Relationship Id="rId342" Type="http://schemas.openxmlformats.org/officeDocument/2006/relationships/hyperlink" Target="https://youxelteam.visualstudio.com/CheckNow/_workitems/edit/244772/?view=edit" TargetMode="External"/><Relationship Id="rId384" Type="http://schemas.openxmlformats.org/officeDocument/2006/relationships/hyperlink" Target="https://youxelteam.visualstudio.com/CheckNow/_workitems/edit/247314/?view=edit" TargetMode="External"/><Relationship Id="rId591" Type="http://schemas.openxmlformats.org/officeDocument/2006/relationships/hyperlink" Target="https://youxelteam.visualstudio.com/CheckNow/_workitems/edit/252825/?view=edit" TargetMode="External"/><Relationship Id="rId605" Type="http://schemas.openxmlformats.org/officeDocument/2006/relationships/hyperlink" Target="https://youxelteam.visualstudio.com/CheckNow/_workitems/edit/263833/?view=edit" TargetMode="External"/><Relationship Id="rId787" Type="http://schemas.openxmlformats.org/officeDocument/2006/relationships/hyperlink" Target="https://youxelteam.visualstudio.com/CheckNow/_workitems/edit/260487/?view=edit" TargetMode="External"/><Relationship Id="rId202" Type="http://schemas.openxmlformats.org/officeDocument/2006/relationships/hyperlink" Target="https://youxelteam.visualstudio.com/CheckNow/_workitems/edit/195968/?view=edit" TargetMode="External"/><Relationship Id="rId244" Type="http://schemas.openxmlformats.org/officeDocument/2006/relationships/hyperlink" Target="https://youxelteam.visualstudio.com/CheckNow/_workitems/edit/252825/?view=edit" TargetMode="External"/><Relationship Id="rId647" Type="http://schemas.openxmlformats.org/officeDocument/2006/relationships/hyperlink" Target="https://youxelteam.visualstudio.com/CheckNow/_workitems/edit/250832/?view=edit" TargetMode="External"/><Relationship Id="rId689" Type="http://schemas.openxmlformats.org/officeDocument/2006/relationships/hyperlink" Target="https://youxelteam.visualstudio.com/CheckNow/_workitems/edit/244757/?view=edit" TargetMode="External"/><Relationship Id="rId39" Type="http://schemas.openxmlformats.org/officeDocument/2006/relationships/hyperlink" Target="https://youxelteam.visualstudio.com/CheckNow/_workitems/edit/195968/?view=edit" TargetMode="External"/><Relationship Id="rId286" Type="http://schemas.openxmlformats.org/officeDocument/2006/relationships/hyperlink" Target="https://youxelteam.visualstudio.com/CheckNow/_workitems/edit/250832/?view=edit" TargetMode="External"/><Relationship Id="rId451" Type="http://schemas.openxmlformats.org/officeDocument/2006/relationships/hyperlink" Target="https://youxelteam.visualstudio.com/CheckNow/_workitems/edit/255495/?view=edit" TargetMode="External"/><Relationship Id="rId493" Type="http://schemas.openxmlformats.org/officeDocument/2006/relationships/hyperlink" Target="https://youxelteam.visualstudio.com/CheckNow/_workitems/edit/242629/?view=edit" TargetMode="External"/><Relationship Id="rId507" Type="http://schemas.openxmlformats.org/officeDocument/2006/relationships/hyperlink" Target="https://youxelteam.visualstudio.com/CheckNow/_workitems/edit/244772/?view=edit" TargetMode="External"/><Relationship Id="rId549" Type="http://schemas.openxmlformats.org/officeDocument/2006/relationships/hyperlink" Target="https://youxelteam.visualstudio.com/CheckNow/_workitems/edit/247316/?view=edit" TargetMode="External"/><Relationship Id="rId714" Type="http://schemas.openxmlformats.org/officeDocument/2006/relationships/hyperlink" Target="https://youxelteam.visualstudio.com/CheckNow/_workitems/edit/264492/?view=edit" TargetMode="External"/><Relationship Id="rId756" Type="http://schemas.openxmlformats.org/officeDocument/2006/relationships/hyperlink" Target="https://youxelteam.visualstudio.com/CheckNow/_workitems/edit/263833/?view=edit" TargetMode="External"/><Relationship Id="rId50" Type="http://schemas.openxmlformats.org/officeDocument/2006/relationships/hyperlink" Target="https://youxelteam.visualstudio.com/CheckNow/_workitems/edit/247821/?view=edit" TargetMode="External"/><Relationship Id="rId104" Type="http://schemas.openxmlformats.org/officeDocument/2006/relationships/hyperlink" Target="https://youxelteam.visualstudio.com/CheckNow/_workitems/edit/247748/?view=edit" TargetMode="External"/><Relationship Id="rId146" Type="http://schemas.openxmlformats.org/officeDocument/2006/relationships/hyperlink" Target="https://youxelteam.visualstudio.com/CheckNow/_workitems/edit/244761/?view=edit" TargetMode="External"/><Relationship Id="rId188" Type="http://schemas.openxmlformats.org/officeDocument/2006/relationships/hyperlink" Target="https://youxelteam.visualstudio.com/CheckNow/_workitems/edit/195968/?view=edit" TargetMode="External"/><Relationship Id="rId311" Type="http://schemas.openxmlformats.org/officeDocument/2006/relationships/hyperlink" Target="https://youxelteam.visualstudio.com/CheckNow/_workitems/edit/242628/?view=edit" TargetMode="External"/><Relationship Id="rId353" Type="http://schemas.openxmlformats.org/officeDocument/2006/relationships/hyperlink" Target="https://youxelteam.visualstudio.com/CheckNow/_workitems/edit/244757/?view=edit" TargetMode="External"/><Relationship Id="rId395" Type="http://schemas.openxmlformats.org/officeDocument/2006/relationships/hyperlink" Target="https://youxelteam.visualstudio.com/CheckNow/_workitems/edit/252836/?view=edit" TargetMode="External"/><Relationship Id="rId409" Type="http://schemas.openxmlformats.org/officeDocument/2006/relationships/hyperlink" Target="https://youxelteam.visualstudio.com/CheckNow/_workitems/edit/252825/?view=edit" TargetMode="External"/><Relationship Id="rId560" Type="http://schemas.openxmlformats.org/officeDocument/2006/relationships/hyperlink" Target="https://youxelteam.visualstudio.com/CheckNow/_workitems/edit/252836/?view=edit" TargetMode="External"/><Relationship Id="rId92" Type="http://schemas.openxmlformats.org/officeDocument/2006/relationships/hyperlink" Target="https://youxelteam.visualstudio.com/CheckNow/_workitems/edit/242628/?view=edit" TargetMode="External"/><Relationship Id="rId213" Type="http://schemas.openxmlformats.org/officeDocument/2006/relationships/hyperlink" Target="https://youxelteam.visualstudio.com/CheckNow/_workitems/edit/247311/?view=edit" TargetMode="External"/><Relationship Id="rId420" Type="http://schemas.openxmlformats.org/officeDocument/2006/relationships/hyperlink" Target="https://youxelteam.visualstudio.com/CheckNow/_workitems/edit/252825/?view=edit" TargetMode="External"/><Relationship Id="rId616" Type="http://schemas.openxmlformats.org/officeDocument/2006/relationships/hyperlink" Target="https://youxelteam.visualstudio.com/CheckNow/_workitems/edit/244770/?view=edit" TargetMode="External"/><Relationship Id="rId658" Type="http://schemas.openxmlformats.org/officeDocument/2006/relationships/hyperlink" Target="https://youxelteam.visualstudio.com/CheckNow/_workitems/edit/244767/?view=edit" TargetMode="External"/><Relationship Id="rId255" Type="http://schemas.openxmlformats.org/officeDocument/2006/relationships/hyperlink" Target="https://youxelteam.visualstudio.com/CheckNow/_workitems/edit/252825/?view=edit" TargetMode="External"/><Relationship Id="rId297" Type="http://schemas.openxmlformats.org/officeDocument/2006/relationships/hyperlink" Target="https://youxelteam.visualstudio.com/CheckNow/_workitems/edit/250832/?view=edit" TargetMode="External"/><Relationship Id="rId462" Type="http://schemas.openxmlformats.org/officeDocument/2006/relationships/hyperlink" Target="https://youxelteam.visualstudio.com/CheckNow/_workitems/edit/250832/?view=edit" TargetMode="External"/><Relationship Id="rId518" Type="http://schemas.openxmlformats.org/officeDocument/2006/relationships/hyperlink" Target="https://youxelteam.visualstudio.com/CheckNow/_workitems/edit/244757/?view=edit" TargetMode="External"/><Relationship Id="rId725" Type="http://schemas.openxmlformats.org/officeDocument/2006/relationships/hyperlink" Target="https://youxelteam.visualstudio.com/CheckNow/_workitems/edit/252825/?view=edit" TargetMode="External"/><Relationship Id="rId115" Type="http://schemas.openxmlformats.org/officeDocument/2006/relationships/hyperlink" Target="https://youxelteam.visualstudio.com/CheckNow/_workitems/edit/244764/?view=edit" TargetMode="External"/><Relationship Id="rId157" Type="http://schemas.openxmlformats.org/officeDocument/2006/relationships/hyperlink" Target="https://youxelteam.visualstudio.com/CheckNow/_workitems/edit/263534/?view=edit" TargetMode="External"/><Relationship Id="rId322" Type="http://schemas.openxmlformats.org/officeDocument/2006/relationships/hyperlink" Target="https://youxelteam.visualstudio.com/CheckNow/_workitems/edit/244767/?view=edit" TargetMode="External"/><Relationship Id="rId364" Type="http://schemas.openxmlformats.org/officeDocument/2006/relationships/hyperlink" Target="https://youxelteam.visualstudio.com/CheckNow/_workitems/edit/263834/?view=edit" TargetMode="External"/><Relationship Id="rId767" Type="http://schemas.openxmlformats.org/officeDocument/2006/relationships/hyperlink" Target="https://youxelteam.visualstudio.com/CheckNow/_workitems/edit/263534/?view=edit" TargetMode="External"/><Relationship Id="rId61" Type="http://schemas.openxmlformats.org/officeDocument/2006/relationships/hyperlink" Target="https://youxelteam.visualstudio.com/CheckNow/_workitems/edit/255494/?view=edit" TargetMode="External"/><Relationship Id="rId199" Type="http://schemas.openxmlformats.org/officeDocument/2006/relationships/hyperlink" Target="https://youxelteam.visualstudio.com/CheckNow/_workitems/edit/247314/?view=edit" TargetMode="External"/><Relationship Id="rId571" Type="http://schemas.openxmlformats.org/officeDocument/2006/relationships/hyperlink" Target="https://youxelteam.visualstudio.com/CheckNow/_workitems/edit/252825/?view=edit" TargetMode="External"/><Relationship Id="rId627" Type="http://schemas.openxmlformats.org/officeDocument/2006/relationships/hyperlink" Target="https://youxelteam.visualstudio.com/CheckNow/_workitems/edit/250832/?view=edit" TargetMode="External"/><Relationship Id="rId669" Type="http://schemas.openxmlformats.org/officeDocument/2006/relationships/hyperlink" Target="https://youxelteam.visualstudio.com/CheckNow/_workitems/edit/244768/?view=edit" TargetMode="External"/><Relationship Id="rId19" Type="http://schemas.openxmlformats.org/officeDocument/2006/relationships/hyperlink" Target="https://youxelteam.visualstudio.com/CheckNow/_workitems/edit/228961/?view=edit" TargetMode="External"/><Relationship Id="rId224" Type="http://schemas.openxmlformats.org/officeDocument/2006/relationships/hyperlink" Target="https://youxelteam.visualstudio.com/CheckNow/_workitems/edit/264492/?view=edit" TargetMode="External"/><Relationship Id="rId266" Type="http://schemas.openxmlformats.org/officeDocument/2006/relationships/hyperlink" Target="https://youxelteam.visualstudio.com/CheckNow/_workitems/edit/263833/?view=edit" TargetMode="External"/><Relationship Id="rId431" Type="http://schemas.openxmlformats.org/officeDocument/2006/relationships/hyperlink" Target="https://youxelteam.visualstudio.com/CheckNow/_workitems/edit/252825/?view=edit" TargetMode="External"/><Relationship Id="rId473" Type="http://schemas.openxmlformats.org/officeDocument/2006/relationships/hyperlink" Target="https://youxelteam.visualstudio.com/CheckNow/_workitems/edit/250832/?view=edit" TargetMode="External"/><Relationship Id="rId529" Type="http://schemas.openxmlformats.org/officeDocument/2006/relationships/hyperlink" Target="https://youxelteam.visualstudio.com/CheckNow/_workitems/edit/264506/?view=edit" TargetMode="External"/><Relationship Id="rId680" Type="http://schemas.openxmlformats.org/officeDocument/2006/relationships/hyperlink" Target="https://youxelteam.visualstudio.com/CheckNow/_workitems/edit/244756/?view=edit" TargetMode="External"/><Relationship Id="rId736" Type="http://schemas.openxmlformats.org/officeDocument/2006/relationships/hyperlink" Target="https://youxelteam.visualstudio.com/CheckNow/_workitems/edit/252825/?view=edit" TargetMode="External"/><Relationship Id="rId30" Type="http://schemas.openxmlformats.org/officeDocument/2006/relationships/hyperlink" Target="https://youxelteam.visualstudio.com/CheckNow/_workitems/edit/195968/?view=edit" TargetMode="External"/><Relationship Id="rId126" Type="http://schemas.openxmlformats.org/officeDocument/2006/relationships/hyperlink" Target="https://youxelteam.visualstudio.com/CheckNow/_workitems/edit/244768/?view=edit" TargetMode="External"/><Relationship Id="rId168" Type="http://schemas.openxmlformats.org/officeDocument/2006/relationships/hyperlink" Target="https://youxelteam.visualstudio.com/CheckNow/_workitems/edit/195967/?view=edit" TargetMode="External"/><Relationship Id="rId333" Type="http://schemas.openxmlformats.org/officeDocument/2006/relationships/hyperlink" Target="https://youxelteam.visualstudio.com/CheckNow/_workitems/edit/244768/?view=edit" TargetMode="External"/><Relationship Id="rId540" Type="http://schemas.openxmlformats.org/officeDocument/2006/relationships/hyperlink" Target="https://youxelteam.visualstudio.com/CheckNow/_workitems/edit/247306/?view=edit" TargetMode="External"/><Relationship Id="rId778" Type="http://schemas.openxmlformats.org/officeDocument/2006/relationships/hyperlink" Target="https://youxelteam.visualstudio.com/CheckNow/_workitems/edit/247323/?view=edit" TargetMode="External"/><Relationship Id="rId72" Type="http://schemas.openxmlformats.org/officeDocument/2006/relationships/hyperlink" Target="https://youxelteam.visualstudio.com/CheckNow/_workitems/edit/250832/?view=edit" TargetMode="External"/><Relationship Id="rId375" Type="http://schemas.openxmlformats.org/officeDocument/2006/relationships/hyperlink" Target="https://youxelteam.visualstudio.com/CheckNow/_workitems/edit/247305/?view=edit" TargetMode="External"/><Relationship Id="rId582" Type="http://schemas.openxmlformats.org/officeDocument/2006/relationships/hyperlink" Target="https://youxelteam.visualstudio.com/CheckNow/_workitems/edit/252825/?view=edit" TargetMode="External"/><Relationship Id="rId638" Type="http://schemas.openxmlformats.org/officeDocument/2006/relationships/hyperlink" Target="https://youxelteam.visualstudio.com/CheckNow/_workitems/edit/250832/?view=edit" TargetMode="External"/><Relationship Id="rId3" Type="http://schemas.openxmlformats.org/officeDocument/2006/relationships/hyperlink" Target="https://youxelteam.visualstudio.com/CheckNow/_workitems/edit/228363/?view=edit" TargetMode="External"/><Relationship Id="rId235" Type="http://schemas.openxmlformats.org/officeDocument/2006/relationships/hyperlink" Target="https://youxelteam.visualstudio.com/CheckNow/_workitems/edit/252825/?view=edit" TargetMode="External"/><Relationship Id="rId277" Type="http://schemas.openxmlformats.org/officeDocument/2006/relationships/hyperlink" Target="https://youxelteam.visualstudio.com/CheckNow/_workitems/edit/233816/?view=edit" TargetMode="External"/><Relationship Id="rId400" Type="http://schemas.openxmlformats.org/officeDocument/2006/relationships/hyperlink" Target="https://youxelteam.visualstudio.com/CheckNow/_workitems/edit/264492/?view=edit" TargetMode="External"/><Relationship Id="rId442" Type="http://schemas.openxmlformats.org/officeDocument/2006/relationships/hyperlink" Target="https://youxelteam.visualstudio.com/CheckNow/_workitems/edit/263833/?view=edit" TargetMode="External"/><Relationship Id="rId484" Type="http://schemas.openxmlformats.org/officeDocument/2006/relationships/hyperlink" Target="https://youxelteam.visualstudio.com/CheckNow/_workitems/edit/244767/?view=edit" TargetMode="External"/><Relationship Id="rId705" Type="http://schemas.openxmlformats.org/officeDocument/2006/relationships/hyperlink" Target="https://youxelteam.visualstudio.com/CheckNow/_workitems/edit/247315/?view=edit" TargetMode="External"/><Relationship Id="rId137" Type="http://schemas.openxmlformats.org/officeDocument/2006/relationships/hyperlink" Target="https://youxelteam.visualstudio.com/CheckNow/_workitems/edit/244772/?view=edit" TargetMode="External"/><Relationship Id="rId302" Type="http://schemas.openxmlformats.org/officeDocument/2006/relationships/hyperlink" Target="https://youxelteam.visualstudio.com/CheckNow/_workitems/edit/250832/?view=edit" TargetMode="External"/><Relationship Id="rId344" Type="http://schemas.openxmlformats.org/officeDocument/2006/relationships/hyperlink" Target="https://youxelteam.visualstudio.com/CheckNow/_workitems/edit/244756/?view=edit" TargetMode="External"/><Relationship Id="rId691" Type="http://schemas.openxmlformats.org/officeDocument/2006/relationships/hyperlink" Target="https://youxelteam.visualstudio.com/CheckNow/_workitems/edit/244758/?view=edit" TargetMode="External"/><Relationship Id="rId747" Type="http://schemas.openxmlformats.org/officeDocument/2006/relationships/hyperlink" Target="https://youxelteam.visualstudio.com/CheckNow/_workitems/edit/252825/?view=edit" TargetMode="External"/><Relationship Id="rId789" Type="http://schemas.openxmlformats.org/officeDocument/2006/relationships/hyperlink" Target="https://youxelteam.visualstudio.com/CheckNow/_workitems/edit/244770/?view=edit" TargetMode="External"/><Relationship Id="rId41" Type="http://schemas.openxmlformats.org/officeDocument/2006/relationships/hyperlink" Target="https://youxelteam.visualstudio.com/CheckNow/_workitems/edit/195968/?view=edit" TargetMode="External"/><Relationship Id="rId83" Type="http://schemas.openxmlformats.org/officeDocument/2006/relationships/hyperlink" Target="https://youxelteam.visualstudio.com/CheckNow/_workitems/edit/250832/?view=edit" TargetMode="External"/><Relationship Id="rId179" Type="http://schemas.openxmlformats.org/officeDocument/2006/relationships/hyperlink" Target="https://youxelteam.visualstudio.com/CheckNow/_workitems/edit/247304/?view=edit" TargetMode="External"/><Relationship Id="rId386" Type="http://schemas.openxmlformats.org/officeDocument/2006/relationships/hyperlink" Target="https://youxelteam.visualstudio.com/CheckNow/_workitems/edit/247312/?view=edit" TargetMode="External"/><Relationship Id="rId551" Type="http://schemas.openxmlformats.org/officeDocument/2006/relationships/hyperlink" Target="https://youxelteam.visualstudio.com/CheckNow/_workitems/edit/247312/?view=edit" TargetMode="External"/><Relationship Id="rId593" Type="http://schemas.openxmlformats.org/officeDocument/2006/relationships/hyperlink" Target="https://youxelteam.visualstudio.com/CheckNow/_workitems/edit/252825/?view=edit" TargetMode="External"/><Relationship Id="rId607" Type="http://schemas.openxmlformats.org/officeDocument/2006/relationships/hyperlink" Target="https://youxelteam.visualstudio.com/CheckNow/_workitems/edit/263833/?view=edit" TargetMode="External"/><Relationship Id="rId649" Type="http://schemas.openxmlformats.org/officeDocument/2006/relationships/hyperlink" Target="https://youxelteam.visualstudio.com/CheckNow/_workitems/edit/250832/?view=edit" TargetMode="External"/><Relationship Id="rId190" Type="http://schemas.openxmlformats.org/officeDocument/2006/relationships/hyperlink" Target="https://youxelteam.visualstudio.com/CheckNow/_workitems/edit/195968/?view=edit" TargetMode="External"/><Relationship Id="rId204" Type="http://schemas.openxmlformats.org/officeDocument/2006/relationships/hyperlink" Target="https://youxelteam.visualstudio.com/CheckNow/_workitems/edit/247312/?view=edit" TargetMode="External"/><Relationship Id="rId246" Type="http://schemas.openxmlformats.org/officeDocument/2006/relationships/hyperlink" Target="https://youxelteam.visualstudio.com/CheckNow/_workitems/edit/252825/?view=edit" TargetMode="External"/><Relationship Id="rId288" Type="http://schemas.openxmlformats.org/officeDocument/2006/relationships/hyperlink" Target="https://youxelteam.visualstudio.com/CheckNow/_workitems/edit/250832/?view=edit" TargetMode="External"/><Relationship Id="rId411" Type="http://schemas.openxmlformats.org/officeDocument/2006/relationships/hyperlink" Target="https://youxelteam.visualstudio.com/CheckNow/_workitems/edit/252825/?view=edit" TargetMode="External"/><Relationship Id="rId453" Type="http://schemas.openxmlformats.org/officeDocument/2006/relationships/hyperlink" Target="https://youxelteam.visualstudio.com/CheckNow/_workitems/edit/250832/?view=edit" TargetMode="External"/><Relationship Id="rId509" Type="http://schemas.openxmlformats.org/officeDocument/2006/relationships/hyperlink" Target="https://youxelteam.visualstudio.com/CheckNow/_workitems/edit/244756/?view=edit" TargetMode="External"/><Relationship Id="rId660" Type="http://schemas.openxmlformats.org/officeDocument/2006/relationships/hyperlink" Target="https://youxelteam.visualstudio.com/CheckNow/_workitems/edit/244767/?view=edit" TargetMode="External"/><Relationship Id="rId106" Type="http://schemas.openxmlformats.org/officeDocument/2006/relationships/hyperlink" Target="https://youxelteam.visualstudio.com/CheckNow/_workitems/edit/244767/?view=edit" TargetMode="External"/><Relationship Id="rId313" Type="http://schemas.openxmlformats.org/officeDocument/2006/relationships/hyperlink" Target="https://youxelteam.visualstudio.com/CheckNow/_workitems/edit/247747/?view=edit" TargetMode="External"/><Relationship Id="rId495" Type="http://schemas.openxmlformats.org/officeDocument/2006/relationships/hyperlink" Target="https://youxelteam.visualstudio.com/CheckNow/_workitems/edit/242629/?view=edit" TargetMode="External"/><Relationship Id="rId716" Type="http://schemas.openxmlformats.org/officeDocument/2006/relationships/hyperlink" Target="https://youxelteam.visualstudio.com/CheckNow/_workitems/edit/264492/?view=edit" TargetMode="External"/><Relationship Id="rId758" Type="http://schemas.openxmlformats.org/officeDocument/2006/relationships/hyperlink" Target="https://youxelteam.visualstudio.com/CheckNow/_workitems/edit/263833/?view=edit" TargetMode="External"/><Relationship Id="rId10" Type="http://schemas.openxmlformats.org/officeDocument/2006/relationships/hyperlink" Target="https://youxelteam.visualstudio.com/CheckNow/_workitems/edit/228960/?view=edit" TargetMode="External"/><Relationship Id="rId52" Type="http://schemas.openxmlformats.org/officeDocument/2006/relationships/hyperlink" Target="https://youxelteam.visualstudio.com/CheckNow/_workitems/edit/260177/?view=edit" TargetMode="External"/><Relationship Id="rId94" Type="http://schemas.openxmlformats.org/officeDocument/2006/relationships/hyperlink" Target="https://youxelteam.visualstudio.com/CheckNow/_workitems/edit/242628/?view=edit" TargetMode="External"/><Relationship Id="rId148" Type="http://schemas.openxmlformats.org/officeDocument/2006/relationships/hyperlink" Target="https://youxelteam.visualstudio.com/CheckNow/_workitems/edit/244761/?view=edit" TargetMode="External"/><Relationship Id="rId355" Type="http://schemas.openxmlformats.org/officeDocument/2006/relationships/hyperlink" Target="https://youxelteam.visualstudio.com/CheckNow/_workitems/edit/244758/?view=edit" TargetMode="External"/><Relationship Id="rId397" Type="http://schemas.openxmlformats.org/officeDocument/2006/relationships/hyperlink" Target="https://youxelteam.visualstudio.com/CheckNow/_workitems/edit/264492/?view=edit" TargetMode="External"/><Relationship Id="rId520" Type="http://schemas.openxmlformats.org/officeDocument/2006/relationships/hyperlink" Target="https://youxelteam.visualstudio.com/CheckNow/_workitems/edit/244758/?view=edit" TargetMode="External"/><Relationship Id="rId562" Type="http://schemas.openxmlformats.org/officeDocument/2006/relationships/hyperlink" Target="https://youxelteam.visualstudio.com/CheckNow/_workitems/edit/264492/?view=edit" TargetMode="External"/><Relationship Id="rId618" Type="http://schemas.openxmlformats.org/officeDocument/2006/relationships/hyperlink" Target="https://youxelteam.visualstudio.com/CheckNow/_workitems/edit/260177/?view=edit" TargetMode="External"/><Relationship Id="rId215" Type="http://schemas.openxmlformats.org/officeDocument/2006/relationships/hyperlink" Target="https://youxelteam.visualstudio.com/CheckNow/_workitems/edit/252836/?view=edit" TargetMode="External"/><Relationship Id="rId257" Type="http://schemas.openxmlformats.org/officeDocument/2006/relationships/hyperlink" Target="https://youxelteam.visualstudio.com/CheckNow/_workitems/edit/252825/?view=edit" TargetMode="External"/><Relationship Id="rId422" Type="http://schemas.openxmlformats.org/officeDocument/2006/relationships/hyperlink" Target="https://youxelteam.visualstudio.com/CheckNow/_workitems/edit/252825/?view=edit" TargetMode="External"/><Relationship Id="rId464" Type="http://schemas.openxmlformats.org/officeDocument/2006/relationships/hyperlink" Target="https://youxelteam.visualstudio.com/CheckNow/_workitems/edit/250832/?view=edit" TargetMode="External"/><Relationship Id="rId299" Type="http://schemas.openxmlformats.org/officeDocument/2006/relationships/hyperlink" Target="https://youxelteam.visualstudio.com/CheckNow/_workitems/edit/250832/?view=edit" TargetMode="External"/><Relationship Id="rId727" Type="http://schemas.openxmlformats.org/officeDocument/2006/relationships/hyperlink" Target="https://youxelteam.visualstudio.com/CheckNow/_workitems/edit/252825/?view=edit" TargetMode="External"/><Relationship Id="rId63" Type="http://schemas.openxmlformats.org/officeDocument/2006/relationships/hyperlink" Target="https://youxelteam.visualstudio.com/CheckNow/_workitems/edit/255495/?view=edit" TargetMode="External"/><Relationship Id="rId159" Type="http://schemas.openxmlformats.org/officeDocument/2006/relationships/hyperlink" Target="https://youxelteam.visualstudio.com/CheckNow/_workitems/edit/263534/?view=edit" TargetMode="External"/><Relationship Id="rId366" Type="http://schemas.openxmlformats.org/officeDocument/2006/relationships/hyperlink" Target="https://youxelteam.visualstudio.com/CheckNow/_workitems/edit/264506/?view=edit" TargetMode="External"/><Relationship Id="rId573" Type="http://schemas.openxmlformats.org/officeDocument/2006/relationships/hyperlink" Target="https://youxelteam.visualstudio.com/CheckNow/_workitems/edit/252825/?view=edit" TargetMode="External"/><Relationship Id="rId780" Type="http://schemas.openxmlformats.org/officeDocument/2006/relationships/hyperlink" Target="https://youxelteam.visualstudio.com/CheckNow/_workitems/edit/247313/?view=edit" TargetMode="External"/><Relationship Id="rId226" Type="http://schemas.openxmlformats.org/officeDocument/2006/relationships/hyperlink" Target="https://youxelteam.visualstudio.com/CheckNow/_workitems/edit/195969/?view=edit" TargetMode="External"/><Relationship Id="rId433" Type="http://schemas.openxmlformats.org/officeDocument/2006/relationships/hyperlink" Target="https://youxelteam.visualstudio.com/CheckNow/_workitems/edit/252825/?view=edit" TargetMode="External"/><Relationship Id="rId640" Type="http://schemas.openxmlformats.org/officeDocument/2006/relationships/hyperlink" Target="https://youxelteam.visualstudio.com/CheckNow/_workitems/edit/250832/?view=edit" TargetMode="External"/><Relationship Id="rId738" Type="http://schemas.openxmlformats.org/officeDocument/2006/relationships/hyperlink" Target="https://youxelteam.visualstudio.com/CheckNow/_workitems/edit/252825/?view=edit" TargetMode="External"/><Relationship Id="rId74" Type="http://schemas.openxmlformats.org/officeDocument/2006/relationships/hyperlink" Target="https://youxelteam.visualstudio.com/CheckNow/_workitems/edit/250832/?view=edit" TargetMode="External"/><Relationship Id="rId377" Type="http://schemas.openxmlformats.org/officeDocument/2006/relationships/hyperlink" Target="https://youxelteam.visualstudio.com/CheckNow/_workitems/edit/247322/?view=edit" TargetMode="External"/><Relationship Id="rId500" Type="http://schemas.openxmlformats.org/officeDocument/2006/relationships/hyperlink" Target="https://youxelteam.visualstudio.com/CheckNow/_workitems/edit/244768/?view=edit" TargetMode="External"/><Relationship Id="rId584" Type="http://schemas.openxmlformats.org/officeDocument/2006/relationships/hyperlink" Target="https://youxelteam.visualstudio.com/CheckNow/_workitems/edit/252825/?view=edit" TargetMode="External"/><Relationship Id="rId5" Type="http://schemas.openxmlformats.org/officeDocument/2006/relationships/hyperlink" Target="https://youxelteam.visualstudio.com/CheckNow/_workitems/edit/255494/?view=edit" TargetMode="External"/><Relationship Id="rId237" Type="http://schemas.openxmlformats.org/officeDocument/2006/relationships/hyperlink" Target="https://youxelteam.visualstudio.com/CheckNow/_workitems/edit/252825/?view=edit" TargetMode="External"/><Relationship Id="rId444" Type="http://schemas.openxmlformats.org/officeDocument/2006/relationships/hyperlink" Target="https://youxelteam.visualstudio.com/CheckNow/_workitems/edit/263833/?view=edit" TargetMode="External"/><Relationship Id="rId651" Type="http://schemas.openxmlformats.org/officeDocument/2006/relationships/hyperlink" Target="https://youxelteam.visualstudio.com/CheckNow/_workitems/edit/242628/?view=edit" TargetMode="External"/><Relationship Id="rId749" Type="http://schemas.openxmlformats.org/officeDocument/2006/relationships/hyperlink" Target="https://youxelteam.visualstudio.com/CheckNow/_workitems/edit/252825/?view=edit" TargetMode="External"/><Relationship Id="rId290" Type="http://schemas.openxmlformats.org/officeDocument/2006/relationships/hyperlink" Target="https://youxelteam.visualstudio.com/CheckNow/_workitems/edit/250832/?view=edit" TargetMode="External"/><Relationship Id="rId304" Type="http://schemas.openxmlformats.org/officeDocument/2006/relationships/hyperlink" Target="https://youxelteam.visualstudio.com/CheckNow/_workitems/edit/250832/?view=edit" TargetMode="External"/><Relationship Id="rId388" Type="http://schemas.openxmlformats.org/officeDocument/2006/relationships/hyperlink" Target="https://youxelteam.visualstudio.com/CheckNow/_workitems/edit/247310/?view=edit" TargetMode="External"/><Relationship Id="rId511" Type="http://schemas.openxmlformats.org/officeDocument/2006/relationships/hyperlink" Target="https://youxelteam.visualstudio.com/CheckNow/_workitems/edit/244761/?view=edit" TargetMode="External"/><Relationship Id="rId609" Type="http://schemas.openxmlformats.org/officeDocument/2006/relationships/hyperlink" Target="https://youxelteam.visualstudio.com/CheckNow/_workitems/edit/242628/?view=edit" TargetMode="External"/><Relationship Id="rId85" Type="http://schemas.openxmlformats.org/officeDocument/2006/relationships/hyperlink" Target="https://youxelteam.visualstudio.com/CheckNow/_workitems/edit/250832/?view=edit" TargetMode="External"/><Relationship Id="rId150" Type="http://schemas.openxmlformats.org/officeDocument/2006/relationships/hyperlink" Target="https://youxelteam.visualstudio.com/CheckNow/_workitems/edit/244757/?view=edit" TargetMode="External"/><Relationship Id="rId595" Type="http://schemas.openxmlformats.org/officeDocument/2006/relationships/hyperlink" Target="https://youxelteam.visualstudio.com/CheckNow/_workitems/edit/252825/?view=edit" TargetMode="External"/><Relationship Id="rId248" Type="http://schemas.openxmlformats.org/officeDocument/2006/relationships/hyperlink" Target="https://youxelteam.visualstudio.com/CheckNow/_workitems/edit/252825/?view=edit" TargetMode="External"/><Relationship Id="rId455" Type="http://schemas.openxmlformats.org/officeDocument/2006/relationships/hyperlink" Target="https://youxelteam.visualstudio.com/CheckNow/_workitems/edit/250832/?view=edit" TargetMode="External"/><Relationship Id="rId662" Type="http://schemas.openxmlformats.org/officeDocument/2006/relationships/hyperlink" Target="https://youxelteam.visualstudio.com/CheckNow/_workitems/edit/244764/?view=edit" TargetMode="External"/><Relationship Id="rId12" Type="http://schemas.openxmlformats.org/officeDocument/2006/relationships/hyperlink" Target="https://youxelteam.visualstudio.com/CheckNow/_workitems/edit/228960/?view=edit" TargetMode="External"/><Relationship Id="rId108" Type="http://schemas.openxmlformats.org/officeDocument/2006/relationships/hyperlink" Target="https://youxelteam.visualstudio.com/CheckNow/_workitems/edit/244767/?view=edit" TargetMode="External"/><Relationship Id="rId315" Type="http://schemas.openxmlformats.org/officeDocument/2006/relationships/hyperlink" Target="https://youxelteam.visualstudio.com/CheckNow/_workitems/edit/247748/?view=edit" TargetMode="External"/><Relationship Id="rId522" Type="http://schemas.openxmlformats.org/officeDocument/2006/relationships/hyperlink" Target="https://youxelteam.visualstudio.com/CheckNow/_workitems/edit/263534/?view=edit" TargetMode="External"/><Relationship Id="rId96" Type="http://schemas.openxmlformats.org/officeDocument/2006/relationships/hyperlink" Target="https://youxelteam.visualstudio.com/CheckNow/_workitems/edit/242628/?view=edit" TargetMode="External"/><Relationship Id="rId161" Type="http://schemas.openxmlformats.org/officeDocument/2006/relationships/hyperlink" Target="https://youxelteam.visualstudio.com/CheckNow/_workitems/edit/263834/?view=edit" TargetMode="External"/><Relationship Id="rId399" Type="http://schemas.openxmlformats.org/officeDocument/2006/relationships/hyperlink" Target="https://youxelteam.visualstudio.com/CheckNow/_workitems/edit/264492/?view=edit" TargetMode="External"/><Relationship Id="rId259" Type="http://schemas.openxmlformats.org/officeDocument/2006/relationships/hyperlink" Target="https://youxelteam.visualstudio.com/CheckNow/_workitems/edit/240010/?view=edit" TargetMode="External"/><Relationship Id="rId466" Type="http://schemas.openxmlformats.org/officeDocument/2006/relationships/hyperlink" Target="https://youxelteam.visualstudio.com/CheckNow/_workitems/edit/250832/?view=edit" TargetMode="External"/><Relationship Id="rId673" Type="http://schemas.openxmlformats.org/officeDocument/2006/relationships/hyperlink" Target="https://youxelteam.visualstudio.com/CheckNow/_workitems/edit/244768/?view=edit" TargetMode="External"/><Relationship Id="rId23" Type="http://schemas.openxmlformats.org/officeDocument/2006/relationships/hyperlink" Target="https://youxelteam.visualstudio.com/CheckNow/_workitems/edit/241399/?view=edit" TargetMode="External"/><Relationship Id="rId119" Type="http://schemas.openxmlformats.org/officeDocument/2006/relationships/hyperlink" Target="https://youxelteam.visualstudio.com/CheckNow/_workitems/edit/244770/?view=edit" TargetMode="External"/><Relationship Id="rId326" Type="http://schemas.openxmlformats.org/officeDocument/2006/relationships/hyperlink" Target="https://youxelteam.visualstudio.com/CheckNow/_workitems/edit/244764/?view=edit" TargetMode="External"/><Relationship Id="rId533" Type="http://schemas.openxmlformats.org/officeDocument/2006/relationships/hyperlink" Target="https://youxelteam.visualstudio.com/CheckNow/_workitems/edit/253676/?view=edit" TargetMode="External"/><Relationship Id="rId740" Type="http://schemas.openxmlformats.org/officeDocument/2006/relationships/hyperlink" Target="https://youxelteam.visualstudio.com/CheckNow/_workitems/edit/252825/?view=edit" TargetMode="External"/><Relationship Id="rId172" Type="http://schemas.openxmlformats.org/officeDocument/2006/relationships/hyperlink" Target="https://youxelteam.visualstudio.com/CheckNow/_workitems/edit/253676/?view=edit" TargetMode="External"/><Relationship Id="rId477" Type="http://schemas.openxmlformats.org/officeDocument/2006/relationships/hyperlink" Target="https://youxelteam.visualstudio.com/CheckNow/_workitems/edit/250832/?view=edit" TargetMode="External"/><Relationship Id="rId600" Type="http://schemas.openxmlformats.org/officeDocument/2006/relationships/hyperlink" Target="https://youxelteam.visualstudio.com/CheckNow/_workitems/edit/263833/?view=edit" TargetMode="External"/><Relationship Id="rId684" Type="http://schemas.openxmlformats.org/officeDocument/2006/relationships/hyperlink" Target="https://youxelteam.visualstudio.com/CheckNow/_workitems/edit/244761/?view=edit" TargetMode="External"/><Relationship Id="rId337" Type="http://schemas.openxmlformats.org/officeDocument/2006/relationships/hyperlink" Target="https://youxelteam.visualstudio.com/CheckNow/_workitems/edit/244768/?view=edit" TargetMode="External"/><Relationship Id="rId34" Type="http://schemas.openxmlformats.org/officeDocument/2006/relationships/hyperlink" Target="https://youxelteam.visualstudio.com/CheckNow/_workitems/edit/195968/?view=edit" TargetMode="External"/><Relationship Id="rId544" Type="http://schemas.openxmlformats.org/officeDocument/2006/relationships/hyperlink" Target="https://youxelteam.visualstudio.com/CheckNow/_workitems/edit/247323/?view=edit" TargetMode="External"/><Relationship Id="rId751" Type="http://schemas.openxmlformats.org/officeDocument/2006/relationships/hyperlink" Target="https://youxelteam.visualstudio.com/CheckNow/_workitems/edit/263833/?view=edit" TargetMode="External"/><Relationship Id="rId183" Type="http://schemas.openxmlformats.org/officeDocument/2006/relationships/hyperlink" Target="https://youxelteam.visualstudio.com/CheckNow/_workitems/edit/247306/?view=edit" TargetMode="External"/><Relationship Id="rId390" Type="http://schemas.openxmlformats.org/officeDocument/2006/relationships/hyperlink" Target="https://youxelteam.visualstudio.com/CheckNow/_workitems/edit/247310/?view=edit" TargetMode="External"/><Relationship Id="rId404" Type="http://schemas.openxmlformats.org/officeDocument/2006/relationships/hyperlink" Target="https://youxelteam.visualstudio.com/CheckNow/_workitems/edit/264494/?view=edit" TargetMode="External"/><Relationship Id="rId611" Type="http://schemas.openxmlformats.org/officeDocument/2006/relationships/hyperlink" Target="https://youxelteam.visualstudio.com/CheckNow/_workitems/edit/242628/?view=edit" TargetMode="External"/><Relationship Id="rId250" Type="http://schemas.openxmlformats.org/officeDocument/2006/relationships/hyperlink" Target="https://youxelteam.visualstudio.com/CheckNow/_workitems/edit/252825/?view=edit" TargetMode="External"/><Relationship Id="rId488" Type="http://schemas.openxmlformats.org/officeDocument/2006/relationships/hyperlink" Target="https://youxelteam.visualstudio.com/CheckNow/_workitems/edit/244767/?view=edit" TargetMode="External"/><Relationship Id="rId695" Type="http://schemas.openxmlformats.org/officeDocument/2006/relationships/hyperlink" Target="https://youxelteam.visualstudio.com/CheckNow/_workitems/edit/263834/?view=edit" TargetMode="External"/><Relationship Id="rId709" Type="http://schemas.openxmlformats.org/officeDocument/2006/relationships/hyperlink" Target="https://youxelteam.visualstudio.com/CheckNow/_workitems/edit/247310/?view=edit" TargetMode="External"/><Relationship Id="rId45" Type="http://schemas.openxmlformats.org/officeDocument/2006/relationships/hyperlink" Target="https://youxelteam.visualstudio.com/CheckNow/_workitems/edit/195969/?view=edit" TargetMode="External"/><Relationship Id="rId110" Type="http://schemas.openxmlformats.org/officeDocument/2006/relationships/hyperlink" Target="https://youxelteam.visualstudio.com/CheckNow/_workitems/edit/244767/?view=edit" TargetMode="External"/><Relationship Id="rId348" Type="http://schemas.openxmlformats.org/officeDocument/2006/relationships/hyperlink" Target="https://youxelteam.visualstudio.com/CheckNow/_workitems/edit/244761/?view=edit" TargetMode="External"/><Relationship Id="rId555" Type="http://schemas.openxmlformats.org/officeDocument/2006/relationships/hyperlink" Target="https://youxelteam.visualstudio.com/CheckNow/_workitems/edit/247319/?view=edit" TargetMode="External"/><Relationship Id="rId762" Type="http://schemas.openxmlformats.org/officeDocument/2006/relationships/hyperlink" Target="https://youxelteam.visualstudio.com/CheckNow/_workitems/edit/242628/?view=edit" TargetMode="External"/><Relationship Id="rId194" Type="http://schemas.openxmlformats.org/officeDocument/2006/relationships/hyperlink" Target="https://youxelteam.visualstudio.com/CheckNow/_workitems/edit/195968/?view=edit" TargetMode="External"/><Relationship Id="rId208" Type="http://schemas.openxmlformats.org/officeDocument/2006/relationships/hyperlink" Target="https://youxelteam.visualstudio.com/CheckNow/_workitems/edit/247310/?view=edit" TargetMode="External"/><Relationship Id="rId415" Type="http://schemas.openxmlformats.org/officeDocument/2006/relationships/hyperlink" Target="https://youxelteam.visualstudio.com/CheckNow/_workitems/edit/252825/?view=edit" TargetMode="External"/><Relationship Id="rId622" Type="http://schemas.openxmlformats.org/officeDocument/2006/relationships/hyperlink" Target="https://youxelteam.visualstudio.com/CheckNow/_workitems/edit/233934/?view=edit" TargetMode="External"/><Relationship Id="rId261" Type="http://schemas.openxmlformats.org/officeDocument/2006/relationships/hyperlink" Target="https://youxelteam.visualstudio.com/CheckNow/_workitems/edit/260486/?view=edit" TargetMode="External"/><Relationship Id="rId499" Type="http://schemas.openxmlformats.org/officeDocument/2006/relationships/hyperlink" Target="https://youxelteam.visualstudio.com/CheckNow/_workitems/edit/244768/?view=edit" TargetMode="External"/><Relationship Id="rId56" Type="http://schemas.openxmlformats.org/officeDocument/2006/relationships/hyperlink" Target="https://youxelteam.visualstudio.com/CheckNow/_workitems/edit/251892/?view=edit" TargetMode="External"/><Relationship Id="rId359" Type="http://schemas.openxmlformats.org/officeDocument/2006/relationships/hyperlink" Target="https://youxelteam.visualstudio.com/CheckNow/_workitems/edit/263534/?view=edit" TargetMode="External"/><Relationship Id="rId566" Type="http://schemas.openxmlformats.org/officeDocument/2006/relationships/hyperlink" Target="https://youxelteam.visualstudio.com/CheckNow/_workitems/edit/264492/?view=edit" TargetMode="External"/><Relationship Id="rId773" Type="http://schemas.openxmlformats.org/officeDocument/2006/relationships/hyperlink" Target="https://youxelteam.visualstudio.com/CheckNow/_workitems/edit/247305/?view=edit" TargetMode="External"/><Relationship Id="rId121" Type="http://schemas.openxmlformats.org/officeDocument/2006/relationships/hyperlink" Target="https://youxelteam.visualstudio.com/CheckNow/_workitems/edit/242629/?view=edit" TargetMode="External"/><Relationship Id="rId219" Type="http://schemas.openxmlformats.org/officeDocument/2006/relationships/hyperlink" Target="https://youxelteam.visualstudio.com/CheckNow/_workitems/edit/195969/?view=edit" TargetMode="External"/><Relationship Id="rId426" Type="http://schemas.openxmlformats.org/officeDocument/2006/relationships/hyperlink" Target="https://youxelteam.visualstudio.com/CheckNow/_workitems/edit/252825/?view=edit" TargetMode="External"/><Relationship Id="rId633" Type="http://schemas.openxmlformats.org/officeDocument/2006/relationships/hyperlink" Target="https://youxelteam.visualstudio.com/CheckNow/_workitems/edit/250832/?view=edit" TargetMode="External"/><Relationship Id="rId67" Type="http://schemas.openxmlformats.org/officeDocument/2006/relationships/hyperlink" Target="https://youxelteam.visualstudio.com/CheckNow/_workitems/edit/250832/?view=edit" TargetMode="External"/><Relationship Id="rId272" Type="http://schemas.openxmlformats.org/officeDocument/2006/relationships/hyperlink" Target="https://youxelteam.visualstudio.com/CheckNow/_workitems/edit/263833/?view=edit" TargetMode="External"/><Relationship Id="rId577" Type="http://schemas.openxmlformats.org/officeDocument/2006/relationships/hyperlink" Target="https://youxelteam.visualstudio.com/CheckNow/_workitems/edit/252825/?view=edit" TargetMode="External"/><Relationship Id="rId700" Type="http://schemas.openxmlformats.org/officeDocument/2006/relationships/hyperlink" Target="https://youxelteam.visualstudio.com/CheckNow/_workitems/edit/247302/?view=edit" TargetMode="External"/><Relationship Id="rId132" Type="http://schemas.openxmlformats.org/officeDocument/2006/relationships/hyperlink" Target="https://youxelteam.visualstudio.com/CheckNow/_workitems/edit/244768/?view=edit" TargetMode="External"/><Relationship Id="rId784" Type="http://schemas.openxmlformats.org/officeDocument/2006/relationships/hyperlink" Target="https://youxelteam.visualstudio.com/CheckNow/_workitems/edit/247319/?view=edit" TargetMode="External"/><Relationship Id="rId437" Type="http://schemas.openxmlformats.org/officeDocument/2006/relationships/hyperlink" Target="https://youxelteam.visualstudio.com/CheckNow/_workitems/edit/263833/?view=edit" TargetMode="External"/><Relationship Id="rId644" Type="http://schemas.openxmlformats.org/officeDocument/2006/relationships/hyperlink" Target="https://youxelteam.visualstudio.com/CheckNow/_workitems/edit/250832/?view=edit" TargetMode="External"/><Relationship Id="rId283" Type="http://schemas.openxmlformats.org/officeDocument/2006/relationships/hyperlink" Target="https://youxelteam.visualstudio.com/CheckNow/_workitems/edit/250832/?view=edit" TargetMode="External"/><Relationship Id="rId490" Type="http://schemas.openxmlformats.org/officeDocument/2006/relationships/hyperlink" Target="https://youxelteam.visualstudio.com/CheckNow/_workitems/edit/244767/?view=edit" TargetMode="External"/><Relationship Id="rId504" Type="http://schemas.openxmlformats.org/officeDocument/2006/relationships/hyperlink" Target="https://youxelteam.visualstudio.com/CheckNow/_workitems/edit/244768/?view=edit" TargetMode="External"/><Relationship Id="rId711" Type="http://schemas.openxmlformats.org/officeDocument/2006/relationships/hyperlink" Target="https://youxelteam.visualstudio.com/CheckNow/_workitems/edit/252836/?view=edit" TargetMode="External"/><Relationship Id="rId78" Type="http://schemas.openxmlformats.org/officeDocument/2006/relationships/hyperlink" Target="https://youxelteam.visualstudio.com/CheckNow/_workitems/edit/250832/?view=edit" TargetMode="External"/><Relationship Id="rId143" Type="http://schemas.openxmlformats.org/officeDocument/2006/relationships/hyperlink" Target="https://youxelteam.visualstudio.com/CheckNow/_workitems/edit/244761/?view=edit" TargetMode="External"/><Relationship Id="rId350" Type="http://schemas.openxmlformats.org/officeDocument/2006/relationships/hyperlink" Target="https://youxelteam.visualstudio.com/CheckNow/_workitems/edit/244761/?view=edit" TargetMode="External"/><Relationship Id="rId588" Type="http://schemas.openxmlformats.org/officeDocument/2006/relationships/hyperlink" Target="https://youxelteam.visualstudio.com/CheckNow/_workitems/edit/252825/?view=edit" TargetMode="External"/><Relationship Id="rId9" Type="http://schemas.openxmlformats.org/officeDocument/2006/relationships/hyperlink" Target="https://youxelteam.visualstudio.com/CheckNow/_workitems/edit/228960/?view=edit" TargetMode="External"/><Relationship Id="rId210" Type="http://schemas.openxmlformats.org/officeDocument/2006/relationships/hyperlink" Target="https://youxelteam.visualstudio.com/CheckNow/_workitems/edit/195968/?view=edit" TargetMode="External"/><Relationship Id="rId448" Type="http://schemas.openxmlformats.org/officeDocument/2006/relationships/hyperlink" Target="https://youxelteam.visualstudio.com/CheckNow/_workitems/edit/251892/?view=edit" TargetMode="External"/><Relationship Id="rId655" Type="http://schemas.openxmlformats.org/officeDocument/2006/relationships/hyperlink" Target="https://youxelteam.visualstudio.com/CheckNow/_workitems/edit/244767/?view=edit" TargetMode="External"/><Relationship Id="rId294" Type="http://schemas.openxmlformats.org/officeDocument/2006/relationships/hyperlink" Target="https://youxelteam.visualstudio.com/CheckNow/_workitems/edit/250832/?view=edit" TargetMode="External"/><Relationship Id="rId308" Type="http://schemas.openxmlformats.org/officeDocument/2006/relationships/hyperlink" Target="https://youxelteam.visualstudio.com/CheckNow/_workitems/edit/242628/?view=edit" TargetMode="External"/><Relationship Id="rId515" Type="http://schemas.openxmlformats.org/officeDocument/2006/relationships/hyperlink" Target="https://youxelteam.visualstudio.com/CheckNow/_workitems/edit/244761/?view=edit" TargetMode="External"/><Relationship Id="rId722" Type="http://schemas.openxmlformats.org/officeDocument/2006/relationships/hyperlink" Target="https://youxelteam.visualstudio.com/CheckNow/_workitems/edit/252825/?view=edit" TargetMode="External"/><Relationship Id="rId89" Type="http://schemas.openxmlformats.org/officeDocument/2006/relationships/hyperlink" Target="https://youxelteam.visualstudio.com/CheckNow/_workitems/edit/250832/?view=edit" TargetMode="External"/><Relationship Id="rId154" Type="http://schemas.openxmlformats.org/officeDocument/2006/relationships/hyperlink" Target="https://youxelteam.visualstudio.com/CheckNow/_workitems/edit/244758/?view=edit" TargetMode="External"/><Relationship Id="rId361" Type="http://schemas.openxmlformats.org/officeDocument/2006/relationships/hyperlink" Target="https://youxelteam.visualstudio.com/CheckNow/_workitems/edit/263834/?view=edit" TargetMode="External"/><Relationship Id="rId599" Type="http://schemas.openxmlformats.org/officeDocument/2006/relationships/hyperlink" Target="https://youxelteam.visualstudio.com/CheckNow/_workitems/edit/260487/?view=edit" TargetMode="External"/><Relationship Id="rId459" Type="http://schemas.openxmlformats.org/officeDocument/2006/relationships/hyperlink" Target="https://youxelteam.visualstudio.com/CheckNow/_workitems/edit/250832/?view=edit" TargetMode="External"/><Relationship Id="rId666" Type="http://schemas.openxmlformats.org/officeDocument/2006/relationships/hyperlink" Target="https://youxelteam.visualstudio.com/CheckNow/_workitems/edit/242629/?view=edit" TargetMode="External"/><Relationship Id="rId16" Type="http://schemas.openxmlformats.org/officeDocument/2006/relationships/hyperlink" Target="https://youxelteam.visualstudio.com/CheckNow/_workitems/edit/228960/?view=edit" TargetMode="External"/><Relationship Id="rId221" Type="http://schemas.openxmlformats.org/officeDocument/2006/relationships/hyperlink" Target="https://youxelteam.visualstudio.com/CheckNow/_workitems/edit/264492/?view=edit" TargetMode="External"/><Relationship Id="rId319" Type="http://schemas.openxmlformats.org/officeDocument/2006/relationships/hyperlink" Target="https://youxelteam.visualstudio.com/CheckNow/_workitems/edit/244767/?view=edit" TargetMode="External"/><Relationship Id="rId526" Type="http://schemas.openxmlformats.org/officeDocument/2006/relationships/hyperlink" Target="https://youxelteam.visualstudio.com/CheckNow/_workitems/edit/263834/?view=edit" TargetMode="External"/><Relationship Id="rId733" Type="http://schemas.openxmlformats.org/officeDocument/2006/relationships/hyperlink" Target="https://youxelteam.visualstudio.com/CheckNow/_workitems/edit/252825/?view=edit" TargetMode="External"/><Relationship Id="rId165" Type="http://schemas.openxmlformats.org/officeDocument/2006/relationships/hyperlink" Target="https://youxelteam.visualstudio.com/CheckNow/_workitems/edit/241399/?view=edit" TargetMode="External"/><Relationship Id="rId372" Type="http://schemas.openxmlformats.org/officeDocument/2006/relationships/hyperlink" Target="https://youxelteam.visualstudio.com/CheckNow/_workitems/edit/253676/?view=edit" TargetMode="External"/><Relationship Id="rId677" Type="http://schemas.openxmlformats.org/officeDocument/2006/relationships/hyperlink" Target="https://youxelteam.visualstudio.com/CheckNow/_workitems/edit/244768/?view=edit" TargetMode="External"/><Relationship Id="rId232" Type="http://schemas.openxmlformats.org/officeDocument/2006/relationships/hyperlink" Target="https://youxelteam.visualstudio.com/CheckNow/_workitems/edit/252825/?view=edit" TargetMode="External"/><Relationship Id="rId27" Type="http://schemas.openxmlformats.org/officeDocument/2006/relationships/hyperlink" Target="https://youxelteam.visualstudio.com/CheckNow/_workitems/edit/195967/?view=edit" TargetMode="External"/><Relationship Id="rId537" Type="http://schemas.openxmlformats.org/officeDocument/2006/relationships/hyperlink" Target="https://youxelteam.visualstudio.com/CheckNow/_workitems/edit/247303/?view=edit" TargetMode="External"/><Relationship Id="rId744" Type="http://schemas.openxmlformats.org/officeDocument/2006/relationships/hyperlink" Target="https://youxelteam.visualstudio.com/CheckNow/_workitems/edit/252825/?view=edit" TargetMode="External"/><Relationship Id="rId80" Type="http://schemas.openxmlformats.org/officeDocument/2006/relationships/hyperlink" Target="https://youxelteam.visualstudio.com/CheckNow/_workitems/edit/250832/?view=edit" TargetMode="External"/><Relationship Id="rId176" Type="http://schemas.openxmlformats.org/officeDocument/2006/relationships/hyperlink" Target="https://youxelteam.visualstudio.com/CheckNow/_workitems/edit/195967/?view=edit" TargetMode="External"/><Relationship Id="rId383" Type="http://schemas.openxmlformats.org/officeDocument/2006/relationships/hyperlink" Target="https://youxelteam.visualstudio.com/CheckNow/_workitems/edit/247313/?view=edit" TargetMode="External"/><Relationship Id="rId590" Type="http://schemas.openxmlformats.org/officeDocument/2006/relationships/hyperlink" Target="https://youxelteam.visualstudio.com/CheckNow/_workitems/edit/252825/?view=edit" TargetMode="External"/><Relationship Id="rId604" Type="http://schemas.openxmlformats.org/officeDocument/2006/relationships/hyperlink" Target="https://youxelteam.visualstudio.com/CheckNow/_workitems/edit/263833/?view=edit" TargetMode="External"/><Relationship Id="rId243" Type="http://schemas.openxmlformats.org/officeDocument/2006/relationships/hyperlink" Target="https://youxelteam.visualstudio.com/CheckNow/_workitems/edit/252825/?view=edit" TargetMode="External"/><Relationship Id="rId450" Type="http://schemas.openxmlformats.org/officeDocument/2006/relationships/hyperlink" Target="https://youxelteam.visualstudio.com/CheckNow/_workitems/edit/233934/?view=edit" TargetMode="External"/><Relationship Id="rId688" Type="http://schemas.openxmlformats.org/officeDocument/2006/relationships/hyperlink" Target="https://youxelteam.visualstudio.com/CheckNow/_workitems/edit/244761/?view=edit" TargetMode="External"/><Relationship Id="rId38" Type="http://schemas.openxmlformats.org/officeDocument/2006/relationships/hyperlink" Target="https://youxelteam.visualstudio.com/CheckNow/_workitems/edit/195968/?view=edit" TargetMode="External"/><Relationship Id="rId103" Type="http://schemas.openxmlformats.org/officeDocument/2006/relationships/hyperlink" Target="https://youxelteam.visualstudio.com/CheckNow/_workitems/edit/247748/?view=edit" TargetMode="External"/><Relationship Id="rId310" Type="http://schemas.openxmlformats.org/officeDocument/2006/relationships/hyperlink" Target="https://youxelteam.visualstudio.com/CheckNow/_workitems/edit/242628/?view=edit" TargetMode="External"/><Relationship Id="rId548" Type="http://schemas.openxmlformats.org/officeDocument/2006/relationships/hyperlink" Target="https://youxelteam.visualstudio.com/CheckNow/_workitems/edit/247314/?view=edit" TargetMode="External"/><Relationship Id="rId755" Type="http://schemas.openxmlformats.org/officeDocument/2006/relationships/hyperlink" Target="https://youxelteam.visualstudio.com/CheckNow/_workitems/edit/263833/?view=edit" TargetMode="External"/><Relationship Id="rId91" Type="http://schemas.openxmlformats.org/officeDocument/2006/relationships/hyperlink" Target="https://youxelteam.visualstudio.com/CheckNow/_workitems/edit/228960/?view=edit" TargetMode="External"/><Relationship Id="rId187" Type="http://schemas.openxmlformats.org/officeDocument/2006/relationships/hyperlink" Target="https://youxelteam.visualstudio.com/CheckNow/_workitems/edit/247321/?view=edit" TargetMode="External"/><Relationship Id="rId394" Type="http://schemas.openxmlformats.org/officeDocument/2006/relationships/hyperlink" Target="https://youxelteam.visualstudio.com/CheckNow/_workitems/edit/252836/?view=edit" TargetMode="External"/><Relationship Id="rId408" Type="http://schemas.openxmlformats.org/officeDocument/2006/relationships/hyperlink" Target="https://youxelteam.visualstudio.com/CheckNow/_workitems/edit/252825/?view=edit" TargetMode="External"/><Relationship Id="rId615" Type="http://schemas.openxmlformats.org/officeDocument/2006/relationships/hyperlink" Target="https://youxelteam.visualstudio.com/CheckNow/_workitems/edit/244764/?view=edit" TargetMode="External"/><Relationship Id="rId254" Type="http://schemas.openxmlformats.org/officeDocument/2006/relationships/hyperlink" Target="https://youxelteam.visualstudio.com/CheckNow/_workitems/edit/252825/?view=edit" TargetMode="External"/><Relationship Id="rId699" Type="http://schemas.openxmlformats.org/officeDocument/2006/relationships/hyperlink" Target="https://youxelteam.visualstudio.com/CheckNow/_workitems/edit/264506/?view=edit" TargetMode="External"/><Relationship Id="rId49" Type="http://schemas.openxmlformats.org/officeDocument/2006/relationships/hyperlink" Target="https://youxelteam.visualstudio.com/CheckNow/_workitems/edit/260486/?view=edit" TargetMode="External"/><Relationship Id="rId114" Type="http://schemas.openxmlformats.org/officeDocument/2006/relationships/hyperlink" Target="https://youxelteam.visualstudio.com/CheckNow/_workitems/edit/228960/?view=edit" TargetMode="External"/><Relationship Id="rId461" Type="http://schemas.openxmlformats.org/officeDocument/2006/relationships/hyperlink" Target="https://youxelteam.visualstudio.com/CheckNow/_workitems/edit/250832/?view=edit" TargetMode="External"/><Relationship Id="rId559" Type="http://schemas.openxmlformats.org/officeDocument/2006/relationships/hyperlink" Target="https://youxelteam.visualstudio.com/CheckNow/_workitems/edit/252836/?view=edit" TargetMode="External"/><Relationship Id="rId766" Type="http://schemas.openxmlformats.org/officeDocument/2006/relationships/hyperlink" Target="https://youxelteam.visualstudio.com/CheckNow/_workitems/edit/244770/?view=edit" TargetMode="External"/><Relationship Id="rId198" Type="http://schemas.openxmlformats.org/officeDocument/2006/relationships/hyperlink" Target="https://youxelteam.visualstudio.com/CheckNow/_workitems/edit/195968/?view=edit" TargetMode="External"/><Relationship Id="rId321" Type="http://schemas.openxmlformats.org/officeDocument/2006/relationships/hyperlink" Target="https://youxelteam.visualstudio.com/CheckNow/_workitems/edit/244767/?view=edit" TargetMode="External"/><Relationship Id="rId419" Type="http://schemas.openxmlformats.org/officeDocument/2006/relationships/hyperlink" Target="https://youxelteam.visualstudio.com/CheckNow/_workitems/edit/252825/?view=edit" TargetMode="External"/><Relationship Id="rId626" Type="http://schemas.openxmlformats.org/officeDocument/2006/relationships/hyperlink" Target="https://youxelteam.visualstudio.com/CheckNow/_workitems/edit/250832/?view=edit" TargetMode="External"/><Relationship Id="rId265" Type="http://schemas.openxmlformats.org/officeDocument/2006/relationships/hyperlink" Target="https://youxelteam.visualstudio.com/CheckNow/_workitems/edit/263833/?view=edit" TargetMode="External"/><Relationship Id="rId472" Type="http://schemas.openxmlformats.org/officeDocument/2006/relationships/hyperlink" Target="https://youxelteam.visualstudio.com/CheckNow/_workitems/edit/250832/?view=edit" TargetMode="External"/><Relationship Id="rId125" Type="http://schemas.openxmlformats.org/officeDocument/2006/relationships/hyperlink" Target="https://youxelteam.visualstudio.com/CheckNow/_workitems/edit/228960/?view=edit" TargetMode="External"/><Relationship Id="rId332" Type="http://schemas.openxmlformats.org/officeDocument/2006/relationships/hyperlink" Target="https://youxelteam.visualstudio.com/CheckNow/_workitems/edit/242629/?view=edit" TargetMode="External"/><Relationship Id="rId777" Type="http://schemas.openxmlformats.org/officeDocument/2006/relationships/hyperlink" Target="https://youxelteam.visualstudio.com/CheckNow/_workitems/edit/247324/?view=edit" TargetMode="External"/><Relationship Id="rId637" Type="http://schemas.openxmlformats.org/officeDocument/2006/relationships/hyperlink" Target="https://youxelteam.visualstudio.com/CheckNow/_workitems/edit/250832/?view=edit" TargetMode="External"/><Relationship Id="rId276" Type="http://schemas.openxmlformats.org/officeDocument/2006/relationships/hyperlink" Target="https://youxelteam.visualstudio.com/CheckNow/_workitems/edit/251892/?view=edit" TargetMode="External"/><Relationship Id="rId483" Type="http://schemas.openxmlformats.org/officeDocument/2006/relationships/hyperlink" Target="https://youxelteam.visualstudio.com/CheckNow/_workitems/edit/244767/?view=edit" TargetMode="External"/><Relationship Id="rId690" Type="http://schemas.openxmlformats.org/officeDocument/2006/relationships/hyperlink" Target="https://youxelteam.visualstudio.com/CheckNow/_workitems/edit/244757/?view=edit" TargetMode="External"/><Relationship Id="rId704" Type="http://schemas.openxmlformats.org/officeDocument/2006/relationships/hyperlink" Target="https://youxelteam.visualstudio.com/CheckNow/_workitems/edit/253676/?view=edit" TargetMode="External"/><Relationship Id="rId40" Type="http://schemas.openxmlformats.org/officeDocument/2006/relationships/hyperlink" Target="https://youxelteam.visualstudio.com/CheckNow/_workitems/edit/195968/?view=edit" TargetMode="External"/><Relationship Id="rId136" Type="http://schemas.openxmlformats.org/officeDocument/2006/relationships/hyperlink" Target="https://youxelteam.visualstudio.com/CheckNow/_workitems/edit/244772/?view=edit" TargetMode="External"/><Relationship Id="rId343" Type="http://schemas.openxmlformats.org/officeDocument/2006/relationships/hyperlink" Target="https://youxelteam.visualstudio.com/CheckNow/_workitems/edit/244772/?view=edit" TargetMode="External"/><Relationship Id="rId550" Type="http://schemas.openxmlformats.org/officeDocument/2006/relationships/hyperlink" Target="https://youxelteam.visualstudio.com/CheckNow/_workitems/edit/247312/?view=edit" TargetMode="External"/><Relationship Id="rId788" Type="http://schemas.openxmlformats.org/officeDocument/2006/relationships/hyperlink" Target="https://youxelteam.visualstudio.com/CheckNow/_workitems/edit/263833/?view=edit" TargetMode="External"/><Relationship Id="rId203" Type="http://schemas.openxmlformats.org/officeDocument/2006/relationships/hyperlink" Target="https://youxelteam.visualstudio.com/CheckNow/_workitems/edit/247312/?view=edit" TargetMode="External"/><Relationship Id="rId648" Type="http://schemas.openxmlformats.org/officeDocument/2006/relationships/hyperlink" Target="https://youxelteam.visualstudio.com/CheckNow/_workitems/edit/250832/?view=edit" TargetMode="External"/><Relationship Id="rId287" Type="http://schemas.openxmlformats.org/officeDocument/2006/relationships/hyperlink" Target="https://youxelteam.visualstudio.com/CheckNow/_workitems/edit/250832/?view=edit" TargetMode="External"/><Relationship Id="rId410" Type="http://schemas.openxmlformats.org/officeDocument/2006/relationships/hyperlink" Target="https://youxelteam.visualstudio.com/CheckNow/_workitems/edit/252825/?view=edit" TargetMode="External"/><Relationship Id="rId494" Type="http://schemas.openxmlformats.org/officeDocument/2006/relationships/hyperlink" Target="https://youxelteam.visualstudio.com/CheckNow/_workitems/edit/242629/?view=edit" TargetMode="External"/><Relationship Id="rId508" Type="http://schemas.openxmlformats.org/officeDocument/2006/relationships/hyperlink" Target="https://youxelteam.visualstudio.com/CheckNow/_workitems/edit/244756/?view=edit" TargetMode="External"/><Relationship Id="rId715" Type="http://schemas.openxmlformats.org/officeDocument/2006/relationships/hyperlink" Target="https://youxelteam.visualstudio.com/CheckNow/_workitems/edit/264492/?view=edit" TargetMode="External"/><Relationship Id="rId147" Type="http://schemas.openxmlformats.org/officeDocument/2006/relationships/hyperlink" Target="https://youxelteam.visualstudio.com/CheckNow/_workitems/edit/244761/?view=edit" TargetMode="External"/><Relationship Id="rId354" Type="http://schemas.openxmlformats.org/officeDocument/2006/relationships/hyperlink" Target="https://youxelteam.visualstudio.com/CheckNow/_workitems/edit/244757/?view=edit" TargetMode="External"/><Relationship Id="rId51" Type="http://schemas.openxmlformats.org/officeDocument/2006/relationships/hyperlink" Target="https://youxelteam.visualstudio.com/CheckNow/_workitems/edit/260293/?view=edit" TargetMode="External"/><Relationship Id="rId561" Type="http://schemas.openxmlformats.org/officeDocument/2006/relationships/hyperlink" Target="https://youxelteam.visualstudio.com/CheckNow/_workitems/edit/264492/?view=edit" TargetMode="External"/><Relationship Id="rId659" Type="http://schemas.openxmlformats.org/officeDocument/2006/relationships/hyperlink" Target="https://youxelteam.visualstudio.com/CheckNow/_workitems/edit/244767/?view=edit" TargetMode="External"/><Relationship Id="rId214" Type="http://schemas.openxmlformats.org/officeDocument/2006/relationships/hyperlink" Target="https://youxelteam.visualstudio.com/CheckNow/_workitems/edit/195969/?view=edit" TargetMode="External"/><Relationship Id="rId298" Type="http://schemas.openxmlformats.org/officeDocument/2006/relationships/hyperlink" Target="https://youxelteam.visualstudio.com/CheckNow/_workitems/edit/250832/?view=edit" TargetMode="External"/><Relationship Id="rId421" Type="http://schemas.openxmlformats.org/officeDocument/2006/relationships/hyperlink" Target="https://youxelteam.visualstudio.com/CheckNow/_workitems/edit/252825/?view=edit" TargetMode="External"/><Relationship Id="rId519" Type="http://schemas.openxmlformats.org/officeDocument/2006/relationships/hyperlink" Target="https://youxelteam.visualstudio.com/CheckNow/_workitems/edit/244758/?view=edit" TargetMode="External"/><Relationship Id="rId158" Type="http://schemas.openxmlformats.org/officeDocument/2006/relationships/hyperlink" Target="https://youxelteam.visualstudio.com/CheckNow/_workitems/edit/263534/?view=edit" TargetMode="External"/><Relationship Id="rId726" Type="http://schemas.openxmlformats.org/officeDocument/2006/relationships/hyperlink" Target="https://youxelteam.visualstudio.com/CheckNow/_workitems/edit/252825/?view=edit" TargetMode="External"/><Relationship Id="rId62" Type="http://schemas.openxmlformats.org/officeDocument/2006/relationships/hyperlink" Target="https://youxelteam.visualstudio.com/CheckNow/_workitems/edit/255495/?view=edit" TargetMode="External"/><Relationship Id="rId365" Type="http://schemas.openxmlformats.org/officeDocument/2006/relationships/hyperlink" Target="https://youxelteam.visualstudio.com/CheckNow/_workitems/edit/264506/?view=edit" TargetMode="External"/><Relationship Id="rId572" Type="http://schemas.openxmlformats.org/officeDocument/2006/relationships/hyperlink" Target="https://youxelteam.visualstudio.com/CheckNow/_workitems/edit/252825/?view=edit" TargetMode="External"/><Relationship Id="rId225" Type="http://schemas.openxmlformats.org/officeDocument/2006/relationships/hyperlink" Target="https://youxelteam.visualstudio.com/CheckNow/_workitems/edit/264492/?view=edit" TargetMode="External"/><Relationship Id="rId432" Type="http://schemas.openxmlformats.org/officeDocument/2006/relationships/hyperlink" Target="https://youxelteam.visualstudio.com/CheckNow/_workitems/edit/252825/?view=edit" TargetMode="External"/><Relationship Id="rId737" Type="http://schemas.openxmlformats.org/officeDocument/2006/relationships/hyperlink" Target="https://youxelteam.visualstudio.com/CheckNow/_workitems/edit/252825/?view=edit" TargetMode="External"/><Relationship Id="rId73" Type="http://schemas.openxmlformats.org/officeDocument/2006/relationships/hyperlink" Target="https://youxelteam.visualstudio.com/CheckNow/_workitems/edit/250832/?view=edit" TargetMode="External"/><Relationship Id="rId169" Type="http://schemas.openxmlformats.org/officeDocument/2006/relationships/hyperlink" Target="https://youxelteam.visualstudio.com/CheckNow/_workitems/edit/247302/?view=edit" TargetMode="External"/><Relationship Id="rId376" Type="http://schemas.openxmlformats.org/officeDocument/2006/relationships/hyperlink" Target="https://youxelteam.visualstudio.com/CheckNow/_workitems/edit/247306/?view=edit" TargetMode="External"/><Relationship Id="rId583" Type="http://schemas.openxmlformats.org/officeDocument/2006/relationships/hyperlink" Target="https://youxelteam.visualstudio.com/CheckNow/_workitems/edit/252825/?view=edit" TargetMode="External"/><Relationship Id="rId4" Type="http://schemas.openxmlformats.org/officeDocument/2006/relationships/hyperlink" Target="https://youxelteam.visualstudio.com/CheckNow/_workitems/edit/228369/?view=edit" TargetMode="External"/><Relationship Id="rId236" Type="http://schemas.openxmlformats.org/officeDocument/2006/relationships/hyperlink" Target="https://youxelteam.visualstudio.com/CheckNow/_workitems/edit/252825/?view=edit" TargetMode="External"/><Relationship Id="rId443" Type="http://schemas.openxmlformats.org/officeDocument/2006/relationships/hyperlink" Target="https://youxelteam.visualstudio.com/CheckNow/_workitems/edit/263833/?view=edit" TargetMode="External"/><Relationship Id="rId650" Type="http://schemas.openxmlformats.org/officeDocument/2006/relationships/hyperlink" Target="https://youxelteam.visualstudio.com/CheckNow/_workitems/edit/242628/?view=edit" TargetMode="External"/><Relationship Id="rId303" Type="http://schemas.openxmlformats.org/officeDocument/2006/relationships/hyperlink" Target="https://youxelteam.visualstudio.com/CheckNow/_workitems/edit/250832/?view=edit" TargetMode="External"/><Relationship Id="rId748" Type="http://schemas.openxmlformats.org/officeDocument/2006/relationships/hyperlink" Target="https://youxelteam.visualstudio.com/CheckNow/_workitems/edit/252825/?view=edit" TargetMode="External"/><Relationship Id="rId84" Type="http://schemas.openxmlformats.org/officeDocument/2006/relationships/hyperlink" Target="https://youxelteam.visualstudio.com/CheckNow/_workitems/edit/250832/?view=edit" TargetMode="External"/><Relationship Id="rId387" Type="http://schemas.openxmlformats.org/officeDocument/2006/relationships/hyperlink" Target="https://youxelteam.visualstudio.com/CheckNow/_workitems/edit/247312/?view=edit" TargetMode="External"/><Relationship Id="rId510" Type="http://schemas.openxmlformats.org/officeDocument/2006/relationships/hyperlink" Target="https://youxelteam.visualstudio.com/CheckNow/_workitems/edit/244756/?view=edit" TargetMode="External"/><Relationship Id="rId594" Type="http://schemas.openxmlformats.org/officeDocument/2006/relationships/hyperlink" Target="https://youxelteam.visualstudio.com/CheckNow/_workitems/edit/252825/?view=edit" TargetMode="External"/><Relationship Id="rId608" Type="http://schemas.openxmlformats.org/officeDocument/2006/relationships/hyperlink" Target="https://youxelteam.visualstudio.com/CheckNow/_workitems/edit/263833/?view=edit" TargetMode="External"/><Relationship Id="rId247" Type="http://schemas.openxmlformats.org/officeDocument/2006/relationships/hyperlink" Target="https://youxelteam.visualstudio.com/CheckNow/_workitems/edit/252825/?view=edit" TargetMode="External"/><Relationship Id="rId107" Type="http://schemas.openxmlformats.org/officeDocument/2006/relationships/hyperlink" Target="https://youxelteam.visualstudio.com/CheckNow/_workitems/edit/244767/?view=edit" TargetMode="External"/><Relationship Id="rId454" Type="http://schemas.openxmlformats.org/officeDocument/2006/relationships/hyperlink" Target="https://youxelteam.visualstudio.com/CheckNow/_workitems/edit/250832/?view=edit" TargetMode="External"/><Relationship Id="rId661" Type="http://schemas.openxmlformats.org/officeDocument/2006/relationships/hyperlink" Target="https://youxelteam.visualstudio.com/CheckNow/_workitems/edit/244767/?view=edit" TargetMode="External"/><Relationship Id="rId759" Type="http://schemas.openxmlformats.org/officeDocument/2006/relationships/hyperlink" Target="https://youxelteam.visualstudio.com/CheckNow/_workitems/edit/242628/?view=edit" TargetMode="External"/><Relationship Id="rId11" Type="http://schemas.openxmlformats.org/officeDocument/2006/relationships/hyperlink" Target="https://youxelteam.visualstudio.com/CheckNow/_workitems/edit/228960/?view=edit" TargetMode="External"/><Relationship Id="rId314" Type="http://schemas.openxmlformats.org/officeDocument/2006/relationships/hyperlink" Target="https://youxelteam.visualstudio.com/CheckNow/_workitems/edit/247747/?view=edit" TargetMode="External"/><Relationship Id="rId398" Type="http://schemas.openxmlformats.org/officeDocument/2006/relationships/hyperlink" Target="https://youxelteam.visualstudio.com/CheckNow/_workitems/edit/264492/?view=edit" TargetMode="External"/><Relationship Id="rId521" Type="http://schemas.openxmlformats.org/officeDocument/2006/relationships/hyperlink" Target="https://youxelteam.visualstudio.com/CheckNow/_workitems/edit/244758/?view=edit" TargetMode="External"/><Relationship Id="rId619" Type="http://schemas.openxmlformats.org/officeDocument/2006/relationships/hyperlink" Target="https://youxelteam.visualstudio.com/CheckNow/_workitems/edit/251892/?view=edit" TargetMode="External"/><Relationship Id="rId95" Type="http://schemas.openxmlformats.org/officeDocument/2006/relationships/hyperlink" Target="https://youxelteam.visualstudio.com/CheckNow/_workitems/edit/242628/?view=edit" TargetMode="External"/><Relationship Id="rId160" Type="http://schemas.openxmlformats.org/officeDocument/2006/relationships/hyperlink" Target="https://youxelteam.visualstudio.com/CheckNow/_workitems/edit/241399/?view=edit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xelteam.visualstudio.com/CheckNow/_workitems/edit/195968/?view=edit" TargetMode="External"/><Relationship Id="rId21" Type="http://schemas.openxmlformats.org/officeDocument/2006/relationships/hyperlink" Target="https://youxelteam.visualstudio.com/CheckNow/_workitems/edit/228960/?view=edit" TargetMode="External"/><Relationship Id="rId42" Type="http://schemas.openxmlformats.org/officeDocument/2006/relationships/hyperlink" Target="https://youxelteam.visualstudio.com/CheckNow/_workitems/edit/227974/?view=edit" TargetMode="External"/><Relationship Id="rId47" Type="http://schemas.openxmlformats.org/officeDocument/2006/relationships/hyperlink" Target="https://youxelteam.visualstudio.com/CheckNow/_workitems/edit/242852/?view=edit" TargetMode="External"/><Relationship Id="rId63" Type="http://schemas.openxmlformats.org/officeDocument/2006/relationships/hyperlink" Target="https://youxelteam.visualstudio.com/CheckNow/_workitems/edit/195967/?view=edit" TargetMode="External"/><Relationship Id="rId68" Type="http://schemas.openxmlformats.org/officeDocument/2006/relationships/hyperlink" Target="https://youxelteam.visualstudio.com/CheckNow/_workitems/edit/195968/?view=edit" TargetMode="External"/><Relationship Id="rId84" Type="http://schemas.openxmlformats.org/officeDocument/2006/relationships/hyperlink" Target="https://youxelteam.visualstudio.com/CheckNow/_workitems/edit/255494/?view=edit" TargetMode="External"/><Relationship Id="rId89" Type="http://schemas.openxmlformats.org/officeDocument/2006/relationships/hyperlink" Target="https://youxelteam.visualstudio.com/CheckNow/_workitems/edit/228960/?view=edit" TargetMode="External"/><Relationship Id="rId112" Type="http://schemas.openxmlformats.org/officeDocument/2006/relationships/hyperlink" Target="https://youxelteam.visualstudio.com/CheckNow/_workitems/edit/195968/?view=edit" TargetMode="External"/><Relationship Id="rId16" Type="http://schemas.openxmlformats.org/officeDocument/2006/relationships/hyperlink" Target="https://youxelteam.visualstudio.com/CheckNow/_workitems/edit/228960/?view=edit" TargetMode="External"/><Relationship Id="rId107" Type="http://schemas.openxmlformats.org/officeDocument/2006/relationships/hyperlink" Target="https://youxelteam.visualstudio.com/CheckNow/_workitems/edit/195967/?view=edit" TargetMode="External"/><Relationship Id="rId11" Type="http://schemas.openxmlformats.org/officeDocument/2006/relationships/hyperlink" Target="https://youxelteam.visualstudio.com/CheckNow/_workitems/edit/228960/?view=edit" TargetMode="External"/><Relationship Id="rId32" Type="http://schemas.openxmlformats.org/officeDocument/2006/relationships/hyperlink" Target="https://youxelteam.visualstudio.com/CheckNow/_workitems/edit/195968/?view=edit" TargetMode="External"/><Relationship Id="rId37" Type="http://schemas.openxmlformats.org/officeDocument/2006/relationships/hyperlink" Target="https://youxelteam.visualstudio.com/CheckNow/_workitems/edit/195968/?view=edit" TargetMode="External"/><Relationship Id="rId53" Type="http://schemas.openxmlformats.org/officeDocument/2006/relationships/hyperlink" Target="https://youxelteam.visualstudio.com/CheckNow/_workitems/edit/228960/?view=edit" TargetMode="External"/><Relationship Id="rId58" Type="http://schemas.openxmlformats.org/officeDocument/2006/relationships/hyperlink" Target="https://youxelteam.visualstudio.com/CheckNow/_workitems/edit/228960/?view=edit" TargetMode="External"/><Relationship Id="rId74" Type="http://schemas.openxmlformats.org/officeDocument/2006/relationships/hyperlink" Target="https://youxelteam.visualstudio.com/CheckNow/_workitems/edit/195968/?view=edit" TargetMode="External"/><Relationship Id="rId79" Type="http://schemas.openxmlformats.org/officeDocument/2006/relationships/hyperlink" Target="https://youxelteam.visualstudio.com/CheckNow/_workitems/edit/247821/?view=edit" TargetMode="External"/><Relationship Id="rId102" Type="http://schemas.openxmlformats.org/officeDocument/2006/relationships/hyperlink" Target="https://youxelteam.visualstudio.com/CheckNow/_workitems/edit/241399/?view=edit" TargetMode="External"/><Relationship Id="rId123" Type="http://schemas.openxmlformats.org/officeDocument/2006/relationships/hyperlink" Target="https://youxelteam.visualstudio.com/CheckNow/_workitems/edit/195969/?view=edit" TargetMode="External"/><Relationship Id="rId128" Type="http://schemas.openxmlformats.org/officeDocument/2006/relationships/hyperlink" Target="https://youxelteam.visualstudio.com/CheckNow/_workitems/edit/260486/?view=edit" TargetMode="External"/><Relationship Id="rId5" Type="http://schemas.openxmlformats.org/officeDocument/2006/relationships/hyperlink" Target="https://youxelteam.visualstudio.com/CheckNow/_workitems/edit/255494/?view=edit" TargetMode="External"/><Relationship Id="rId90" Type="http://schemas.openxmlformats.org/officeDocument/2006/relationships/hyperlink" Target="https://youxelteam.visualstudio.com/CheckNow/_workitems/edit/228960/?view=edit" TargetMode="External"/><Relationship Id="rId95" Type="http://schemas.openxmlformats.org/officeDocument/2006/relationships/hyperlink" Target="https://youxelteam.visualstudio.com/CheckNow/_workitems/edit/228960/?view=edit" TargetMode="External"/><Relationship Id="rId22" Type="http://schemas.openxmlformats.org/officeDocument/2006/relationships/hyperlink" Target="https://youxelteam.visualstudio.com/CheckNow/_workitems/edit/228960/?view=edit" TargetMode="External"/><Relationship Id="rId27" Type="http://schemas.openxmlformats.org/officeDocument/2006/relationships/hyperlink" Target="https://youxelteam.visualstudio.com/CheckNow/_workitems/edit/195968/?view=edit" TargetMode="External"/><Relationship Id="rId43" Type="http://schemas.openxmlformats.org/officeDocument/2006/relationships/hyperlink" Target="https://youxelteam.visualstudio.com/CheckNow/_workitems/edit/251864/?view=edit" TargetMode="External"/><Relationship Id="rId48" Type="http://schemas.openxmlformats.org/officeDocument/2006/relationships/hyperlink" Target="https://youxelteam.visualstudio.com/CheckNow/_workitems/edit/228964/?view=edit" TargetMode="External"/><Relationship Id="rId64" Type="http://schemas.openxmlformats.org/officeDocument/2006/relationships/hyperlink" Target="https://youxelteam.visualstudio.com/CheckNow/_workitems/edit/195967/?view=edit" TargetMode="External"/><Relationship Id="rId69" Type="http://schemas.openxmlformats.org/officeDocument/2006/relationships/hyperlink" Target="https://youxelteam.visualstudio.com/CheckNow/_workitems/edit/195968/?view=edit" TargetMode="External"/><Relationship Id="rId113" Type="http://schemas.openxmlformats.org/officeDocument/2006/relationships/hyperlink" Target="https://youxelteam.visualstudio.com/CheckNow/_workitems/edit/195968/?view=edit" TargetMode="External"/><Relationship Id="rId118" Type="http://schemas.openxmlformats.org/officeDocument/2006/relationships/hyperlink" Target="https://youxelteam.visualstudio.com/CheckNow/_workitems/edit/195968/?view=edit" TargetMode="External"/><Relationship Id="rId80" Type="http://schemas.openxmlformats.org/officeDocument/2006/relationships/hyperlink" Target="https://youxelteam.visualstudio.com/CheckNow/_workitems/edit/260293/?view=edit" TargetMode="External"/><Relationship Id="rId85" Type="http://schemas.openxmlformats.org/officeDocument/2006/relationships/hyperlink" Target="https://youxelteam.visualstudio.com/CheckNow/_workitems/edit/227974/?view=edit" TargetMode="External"/><Relationship Id="rId12" Type="http://schemas.openxmlformats.org/officeDocument/2006/relationships/hyperlink" Target="https://youxelteam.visualstudio.com/CheckNow/_workitems/edit/228960/?view=edit" TargetMode="External"/><Relationship Id="rId17" Type="http://schemas.openxmlformats.org/officeDocument/2006/relationships/hyperlink" Target="https://youxelteam.visualstudio.com/CheckNow/_workitems/edit/228960/?view=edit" TargetMode="External"/><Relationship Id="rId33" Type="http://schemas.openxmlformats.org/officeDocument/2006/relationships/hyperlink" Target="https://youxelteam.visualstudio.com/CheckNow/_workitems/edit/195968/?view=edit" TargetMode="External"/><Relationship Id="rId38" Type="http://schemas.openxmlformats.org/officeDocument/2006/relationships/hyperlink" Target="https://youxelteam.visualstudio.com/CheckNow/_workitems/edit/195968/?view=edit" TargetMode="External"/><Relationship Id="rId59" Type="http://schemas.openxmlformats.org/officeDocument/2006/relationships/hyperlink" Target="https://youxelteam.visualstudio.com/CheckNow/_workitems/edit/228960/?view=edit" TargetMode="External"/><Relationship Id="rId103" Type="http://schemas.openxmlformats.org/officeDocument/2006/relationships/hyperlink" Target="https://youxelteam.visualstudio.com/CheckNow/_workitems/edit/195967/?view=edit" TargetMode="External"/><Relationship Id="rId108" Type="http://schemas.openxmlformats.org/officeDocument/2006/relationships/hyperlink" Target="https://youxelteam.visualstudio.com/CheckNow/_workitems/edit/195968/?view=edit" TargetMode="External"/><Relationship Id="rId124" Type="http://schemas.openxmlformats.org/officeDocument/2006/relationships/hyperlink" Target="https://youxelteam.visualstudio.com/CheckNow/_workitems/edit/195969/?view=edit" TargetMode="External"/><Relationship Id="rId129" Type="http://schemas.openxmlformats.org/officeDocument/2006/relationships/hyperlink" Target="https://youxelteam.visualstudio.com/CheckNow/_workitems/edit/247821/?view=edit" TargetMode="External"/><Relationship Id="rId54" Type="http://schemas.openxmlformats.org/officeDocument/2006/relationships/hyperlink" Target="https://youxelteam.visualstudio.com/CheckNow/_workitems/edit/228960/?view=edit" TargetMode="External"/><Relationship Id="rId70" Type="http://schemas.openxmlformats.org/officeDocument/2006/relationships/hyperlink" Target="https://youxelteam.visualstudio.com/CheckNow/_workitems/edit/195968/?view=edit" TargetMode="External"/><Relationship Id="rId75" Type="http://schemas.openxmlformats.org/officeDocument/2006/relationships/hyperlink" Target="https://youxelteam.visualstudio.com/CheckNow/_workitems/edit/195969/?view=edit" TargetMode="External"/><Relationship Id="rId91" Type="http://schemas.openxmlformats.org/officeDocument/2006/relationships/hyperlink" Target="https://youxelteam.visualstudio.com/CheckNow/_workitems/edit/228960/?view=edit" TargetMode="External"/><Relationship Id="rId96" Type="http://schemas.openxmlformats.org/officeDocument/2006/relationships/hyperlink" Target="https://youxelteam.visualstudio.com/CheckNow/_workitems/edit/228961/?view=edit" TargetMode="External"/><Relationship Id="rId1" Type="http://schemas.openxmlformats.org/officeDocument/2006/relationships/hyperlink" Target="https://youxelteam.visualstudio.com/CheckNow/_workitems/edit/228373/?view=edit" TargetMode="External"/><Relationship Id="rId6" Type="http://schemas.openxmlformats.org/officeDocument/2006/relationships/hyperlink" Target="https://youxelteam.visualstudio.com/CheckNow/_workitems/edit/228960/?view=edit" TargetMode="External"/><Relationship Id="rId23" Type="http://schemas.openxmlformats.org/officeDocument/2006/relationships/hyperlink" Target="https://youxelteam.visualstudio.com/CheckNow/_workitems/edit/241399/?view=edit" TargetMode="External"/><Relationship Id="rId28" Type="http://schemas.openxmlformats.org/officeDocument/2006/relationships/hyperlink" Target="https://youxelteam.visualstudio.com/CheckNow/_workitems/edit/195968/?view=edit" TargetMode="External"/><Relationship Id="rId49" Type="http://schemas.openxmlformats.org/officeDocument/2006/relationships/hyperlink" Target="https://youxelteam.visualstudio.com/CheckNow/_workitems/edit/228964/?view=edit" TargetMode="External"/><Relationship Id="rId114" Type="http://schemas.openxmlformats.org/officeDocument/2006/relationships/hyperlink" Target="https://youxelteam.visualstudio.com/CheckNow/_workitems/edit/195968/?view=edit" TargetMode="External"/><Relationship Id="rId119" Type="http://schemas.openxmlformats.org/officeDocument/2006/relationships/hyperlink" Target="https://youxelteam.visualstudio.com/CheckNow/_workitems/edit/195968/?view=edit" TargetMode="External"/><Relationship Id="rId44" Type="http://schemas.openxmlformats.org/officeDocument/2006/relationships/hyperlink" Target="https://youxelteam.visualstudio.com/CheckNow/_workitems/edit/228369/?view=edit" TargetMode="External"/><Relationship Id="rId60" Type="http://schemas.openxmlformats.org/officeDocument/2006/relationships/hyperlink" Target="https://youxelteam.visualstudio.com/CheckNow/_workitems/edit/228960/?view=edit" TargetMode="External"/><Relationship Id="rId65" Type="http://schemas.openxmlformats.org/officeDocument/2006/relationships/hyperlink" Target="https://youxelteam.visualstudio.com/CheckNow/_workitems/edit/241399/?view=edit" TargetMode="External"/><Relationship Id="rId81" Type="http://schemas.openxmlformats.org/officeDocument/2006/relationships/hyperlink" Target="https://youxelteam.visualstudio.com/CheckNow/_workitems/edit/227974/?view=edit" TargetMode="External"/><Relationship Id="rId86" Type="http://schemas.openxmlformats.org/officeDocument/2006/relationships/hyperlink" Target="https://youxelteam.visualstudio.com/CheckNow/_workitems/edit/228964/?view=edit" TargetMode="External"/><Relationship Id="rId13" Type="http://schemas.openxmlformats.org/officeDocument/2006/relationships/hyperlink" Target="https://youxelteam.visualstudio.com/CheckNow/_workitems/edit/228960/?view=edit" TargetMode="External"/><Relationship Id="rId18" Type="http://schemas.openxmlformats.org/officeDocument/2006/relationships/hyperlink" Target="https://youxelteam.visualstudio.com/CheckNow/_workitems/edit/228960/?view=edit" TargetMode="External"/><Relationship Id="rId39" Type="http://schemas.openxmlformats.org/officeDocument/2006/relationships/hyperlink" Target="https://youxelteam.visualstudio.com/CheckNow/_workitems/edit/195968/?view=edit" TargetMode="External"/><Relationship Id="rId109" Type="http://schemas.openxmlformats.org/officeDocument/2006/relationships/hyperlink" Target="https://youxelteam.visualstudio.com/CheckNow/_workitems/edit/195968/?view=edit" TargetMode="External"/><Relationship Id="rId34" Type="http://schemas.openxmlformats.org/officeDocument/2006/relationships/hyperlink" Target="https://youxelteam.visualstudio.com/CheckNow/_workitems/edit/195968/?view=edit" TargetMode="External"/><Relationship Id="rId50" Type="http://schemas.openxmlformats.org/officeDocument/2006/relationships/hyperlink" Target="https://youxelteam.visualstudio.com/CheckNow/_workitems/edit/228960/?view=edit" TargetMode="External"/><Relationship Id="rId55" Type="http://schemas.openxmlformats.org/officeDocument/2006/relationships/hyperlink" Target="https://youxelteam.visualstudio.com/CheckNow/_workitems/edit/228960/?view=edit" TargetMode="External"/><Relationship Id="rId76" Type="http://schemas.openxmlformats.org/officeDocument/2006/relationships/hyperlink" Target="https://youxelteam.visualstudio.com/CheckNow/_workitems/edit/193289/?view=edit" TargetMode="External"/><Relationship Id="rId97" Type="http://schemas.openxmlformats.org/officeDocument/2006/relationships/hyperlink" Target="https://youxelteam.visualstudio.com/CheckNow/_workitems/edit/228960/?view=edit" TargetMode="External"/><Relationship Id="rId104" Type="http://schemas.openxmlformats.org/officeDocument/2006/relationships/hyperlink" Target="https://youxelteam.visualstudio.com/CheckNow/_workitems/edit/195967/?view=edit" TargetMode="External"/><Relationship Id="rId120" Type="http://schemas.openxmlformats.org/officeDocument/2006/relationships/hyperlink" Target="https://youxelteam.visualstudio.com/CheckNow/_workitems/edit/195968/?view=edit" TargetMode="External"/><Relationship Id="rId125" Type="http://schemas.openxmlformats.org/officeDocument/2006/relationships/hyperlink" Target="https://youxelteam.visualstudio.com/CheckNow/_workitems/edit/195969/?view=edit" TargetMode="External"/><Relationship Id="rId7" Type="http://schemas.openxmlformats.org/officeDocument/2006/relationships/hyperlink" Target="https://youxelteam.visualstudio.com/CheckNow/_workitems/edit/228960/?view=edit" TargetMode="External"/><Relationship Id="rId71" Type="http://schemas.openxmlformats.org/officeDocument/2006/relationships/hyperlink" Target="https://youxelteam.visualstudio.com/CheckNow/_workitems/edit/195968/?view=edit" TargetMode="External"/><Relationship Id="rId92" Type="http://schemas.openxmlformats.org/officeDocument/2006/relationships/hyperlink" Target="https://youxelteam.visualstudio.com/CheckNow/_workitems/edit/228960/?view=edit" TargetMode="External"/><Relationship Id="rId2" Type="http://schemas.openxmlformats.org/officeDocument/2006/relationships/hyperlink" Target="https://youxelteam.visualstudio.com/CheckNow/_workitems/edit/260293/?view=edit" TargetMode="External"/><Relationship Id="rId29" Type="http://schemas.openxmlformats.org/officeDocument/2006/relationships/hyperlink" Target="https://youxelteam.visualstudio.com/CheckNow/_workitems/edit/195968/?view=edit" TargetMode="External"/><Relationship Id="rId24" Type="http://schemas.openxmlformats.org/officeDocument/2006/relationships/hyperlink" Target="https://youxelteam.visualstudio.com/CheckNow/_workitems/edit/241399/?view=edit" TargetMode="External"/><Relationship Id="rId40" Type="http://schemas.openxmlformats.org/officeDocument/2006/relationships/hyperlink" Target="https://youxelteam.visualstudio.com/CheckNow/_workitems/edit/228373/?view=edit" TargetMode="External"/><Relationship Id="rId45" Type="http://schemas.openxmlformats.org/officeDocument/2006/relationships/hyperlink" Target="https://youxelteam.visualstudio.com/CheckNow/_workitems/edit/255494/?view=edit" TargetMode="External"/><Relationship Id="rId66" Type="http://schemas.openxmlformats.org/officeDocument/2006/relationships/hyperlink" Target="https://youxelteam.visualstudio.com/CheckNow/_workitems/edit/195968/?view=edit" TargetMode="External"/><Relationship Id="rId87" Type="http://schemas.openxmlformats.org/officeDocument/2006/relationships/hyperlink" Target="https://youxelteam.visualstudio.com/CheckNow/_workitems/edit/228960/?view=edit" TargetMode="External"/><Relationship Id="rId110" Type="http://schemas.openxmlformats.org/officeDocument/2006/relationships/hyperlink" Target="https://youxelteam.visualstudio.com/CheckNow/_workitems/edit/195968/?view=edit" TargetMode="External"/><Relationship Id="rId115" Type="http://schemas.openxmlformats.org/officeDocument/2006/relationships/hyperlink" Target="https://youxelteam.visualstudio.com/CheckNow/_workitems/edit/195968/?view=edit" TargetMode="External"/><Relationship Id="rId61" Type="http://schemas.openxmlformats.org/officeDocument/2006/relationships/hyperlink" Target="https://youxelteam.visualstudio.com/CheckNow/_workitems/edit/228960/?view=edit" TargetMode="External"/><Relationship Id="rId82" Type="http://schemas.openxmlformats.org/officeDocument/2006/relationships/hyperlink" Target="https://youxelteam.visualstudio.com/CheckNow/_workitems/edit/228363/?view=edit" TargetMode="External"/><Relationship Id="rId19" Type="http://schemas.openxmlformats.org/officeDocument/2006/relationships/hyperlink" Target="https://youxelteam.visualstudio.com/CheckNow/_workitems/edit/228960/?view=edit" TargetMode="External"/><Relationship Id="rId14" Type="http://schemas.openxmlformats.org/officeDocument/2006/relationships/hyperlink" Target="https://youxelteam.visualstudio.com/CheckNow/_workitems/edit/228960/?view=edit" TargetMode="External"/><Relationship Id="rId30" Type="http://schemas.openxmlformats.org/officeDocument/2006/relationships/hyperlink" Target="https://youxelteam.visualstudio.com/CheckNow/_workitems/edit/195968/?view=edit" TargetMode="External"/><Relationship Id="rId35" Type="http://schemas.openxmlformats.org/officeDocument/2006/relationships/hyperlink" Target="https://youxelteam.visualstudio.com/CheckNow/_workitems/edit/195968/?view=edit" TargetMode="External"/><Relationship Id="rId56" Type="http://schemas.openxmlformats.org/officeDocument/2006/relationships/hyperlink" Target="https://youxelteam.visualstudio.com/CheckNow/_workitems/edit/228960/?view=edit" TargetMode="External"/><Relationship Id="rId77" Type="http://schemas.openxmlformats.org/officeDocument/2006/relationships/hyperlink" Target="https://youxelteam.visualstudio.com/CheckNow/_workitems/edit/240010/?view=edit" TargetMode="External"/><Relationship Id="rId100" Type="http://schemas.openxmlformats.org/officeDocument/2006/relationships/hyperlink" Target="https://youxelteam.visualstudio.com/CheckNow/_workitems/edit/241399/?view=edit" TargetMode="External"/><Relationship Id="rId105" Type="http://schemas.openxmlformats.org/officeDocument/2006/relationships/hyperlink" Target="https://youxelteam.visualstudio.com/CheckNow/_workitems/edit/195967/?view=edit" TargetMode="External"/><Relationship Id="rId126" Type="http://schemas.openxmlformats.org/officeDocument/2006/relationships/hyperlink" Target="https://youxelteam.visualstudio.com/CheckNow/_workitems/edit/193289/?view=edit" TargetMode="External"/><Relationship Id="rId8" Type="http://schemas.openxmlformats.org/officeDocument/2006/relationships/hyperlink" Target="https://youxelteam.visualstudio.com/CheckNow/_workitems/edit/228960/?view=edit" TargetMode="External"/><Relationship Id="rId51" Type="http://schemas.openxmlformats.org/officeDocument/2006/relationships/hyperlink" Target="https://youxelteam.visualstudio.com/CheckNow/_workitems/edit/228960/?view=edit" TargetMode="External"/><Relationship Id="rId72" Type="http://schemas.openxmlformats.org/officeDocument/2006/relationships/hyperlink" Target="https://youxelteam.visualstudio.com/CheckNow/_workitems/edit/195968/?view=edit" TargetMode="External"/><Relationship Id="rId93" Type="http://schemas.openxmlformats.org/officeDocument/2006/relationships/hyperlink" Target="https://youxelteam.visualstudio.com/CheckNow/_workitems/edit/228960/?view=edit" TargetMode="External"/><Relationship Id="rId98" Type="http://schemas.openxmlformats.org/officeDocument/2006/relationships/hyperlink" Target="https://youxelteam.visualstudio.com/CheckNow/_workitems/edit/228961/?view=edit" TargetMode="External"/><Relationship Id="rId121" Type="http://schemas.openxmlformats.org/officeDocument/2006/relationships/hyperlink" Target="https://youxelteam.visualstudio.com/CheckNow/_workitems/edit/195968/?view=edit" TargetMode="External"/><Relationship Id="rId3" Type="http://schemas.openxmlformats.org/officeDocument/2006/relationships/hyperlink" Target="https://youxelteam.visualstudio.com/CheckNow/_workitems/edit/242852/?view=edit" TargetMode="External"/><Relationship Id="rId25" Type="http://schemas.openxmlformats.org/officeDocument/2006/relationships/hyperlink" Target="https://youxelteam.visualstudio.com/CheckNow/_workitems/edit/195967/?view=edit" TargetMode="External"/><Relationship Id="rId46" Type="http://schemas.openxmlformats.org/officeDocument/2006/relationships/hyperlink" Target="https://youxelteam.visualstudio.com/CheckNow/_workitems/edit/227974/?view=edit" TargetMode="External"/><Relationship Id="rId67" Type="http://schemas.openxmlformats.org/officeDocument/2006/relationships/hyperlink" Target="https://youxelteam.visualstudio.com/CheckNow/_workitems/edit/195968/?view=edit" TargetMode="External"/><Relationship Id="rId116" Type="http://schemas.openxmlformats.org/officeDocument/2006/relationships/hyperlink" Target="https://youxelteam.visualstudio.com/CheckNow/_workitems/edit/195968/?view=edit" TargetMode="External"/><Relationship Id="rId20" Type="http://schemas.openxmlformats.org/officeDocument/2006/relationships/hyperlink" Target="https://youxelteam.visualstudio.com/CheckNow/_workitems/edit/228960/?view=edit" TargetMode="External"/><Relationship Id="rId41" Type="http://schemas.openxmlformats.org/officeDocument/2006/relationships/hyperlink" Target="https://youxelteam.visualstudio.com/CheckNow/_workitems/edit/260293/?view=edit" TargetMode="External"/><Relationship Id="rId62" Type="http://schemas.openxmlformats.org/officeDocument/2006/relationships/hyperlink" Target="https://youxelteam.visualstudio.com/CheckNow/_workitems/edit/247298/?view=edit" TargetMode="External"/><Relationship Id="rId83" Type="http://schemas.openxmlformats.org/officeDocument/2006/relationships/hyperlink" Target="https://youxelteam.visualstudio.com/CheckNow/_workitems/edit/228369/?view=edit" TargetMode="External"/><Relationship Id="rId88" Type="http://schemas.openxmlformats.org/officeDocument/2006/relationships/hyperlink" Target="https://youxelteam.visualstudio.com/CheckNow/_workitems/edit/228960/?view=edit" TargetMode="External"/><Relationship Id="rId111" Type="http://schemas.openxmlformats.org/officeDocument/2006/relationships/hyperlink" Target="https://youxelteam.visualstudio.com/CheckNow/_workitems/edit/195968/?view=edit" TargetMode="External"/><Relationship Id="rId15" Type="http://schemas.openxmlformats.org/officeDocument/2006/relationships/hyperlink" Target="https://youxelteam.visualstudio.com/CheckNow/_workitems/edit/228960/?view=edit" TargetMode="External"/><Relationship Id="rId36" Type="http://schemas.openxmlformats.org/officeDocument/2006/relationships/hyperlink" Target="https://youxelteam.visualstudio.com/CheckNow/_workitems/edit/195968/?view=edit" TargetMode="External"/><Relationship Id="rId57" Type="http://schemas.openxmlformats.org/officeDocument/2006/relationships/hyperlink" Target="https://youxelteam.visualstudio.com/CheckNow/_workitems/edit/228960/?view=edit" TargetMode="External"/><Relationship Id="rId106" Type="http://schemas.openxmlformats.org/officeDocument/2006/relationships/hyperlink" Target="https://youxelteam.visualstudio.com/CheckNow/_workitems/edit/195967/?view=edit" TargetMode="External"/><Relationship Id="rId127" Type="http://schemas.openxmlformats.org/officeDocument/2006/relationships/hyperlink" Target="https://youxelteam.visualstudio.com/CheckNow/_workitems/edit/240010/?view=edit" TargetMode="External"/><Relationship Id="rId10" Type="http://schemas.openxmlformats.org/officeDocument/2006/relationships/hyperlink" Target="https://youxelteam.visualstudio.com/CheckNow/_workitems/edit/228960/?view=edit" TargetMode="External"/><Relationship Id="rId31" Type="http://schemas.openxmlformats.org/officeDocument/2006/relationships/hyperlink" Target="https://youxelteam.visualstudio.com/CheckNow/_workitems/edit/195968/?view=edit" TargetMode="External"/><Relationship Id="rId52" Type="http://schemas.openxmlformats.org/officeDocument/2006/relationships/hyperlink" Target="https://youxelteam.visualstudio.com/CheckNow/_workitems/edit/228960/?view=edit" TargetMode="External"/><Relationship Id="rId73" Type="http://schemas.openxmlformats.org/officeDocument/2006/relationships/hyperlink" Target="https://youxelteam.visualstudio.com/CheckNow/_workitems/edit/195968/?view=edit" TargetMode="External"/><Relationship Id="rId78" Type="http://schemas.openxmlformats.org/officeDocument/2006/relationships/hyperlink" Target="https://youxelteam.visualstudio.com/CheckNow/_workitems/edit/260486/?view=edit" TargetMode="External"/><Relationship Id="rId94" Type="http://schemas.openxmlformats.org/officeDocument/2006/relationships/hyperlink" Target="https://youxelteam.visualstudio.com/CheckNow/_workitems/edit/228960/?view=edit" TargetMode="External"/><Relationship Id="rId99" Type="http://schemas.openxmlformats.org/officeDocument/2006/relationships/hyperlink" Target="https://youxelteam.visualstudio.com/CheckNow/_workitems/edit/228961/?view=edit" TargetMode="External"/><Relationship Id="rId101" Type="http://schemas.openxmlformats.org/officeDocument/2006/relationships/hyperlink" Target="https://youxelteam.visualstudio.com/CheckNow/_workitems/edit/241399/?view=edit" TargetMode="External"/><Relationship Id="rId122" Type="http://schemas.openxmlformats.org/officeDocument/2006/relationships/hyperlink" Target="https://youxelteam.visualstudio.com/CheckNow/_workitems/edit/195968/?view=edit" TargetMode="External"/><Relationship Id="rId4" Type="http://schemas.openxmlformats.org/officeDocument/2006/relationships/hyperlink" Target="https://youxelteam.visualstudio.com/CheckNow/_workitems/edit/251864/?view=edit" TargetMode="External"/><Relationship Id="rId9" Type="http://schemas.openxmlformats.org/officeDocument/2006/relationships/hyperlink" Target="https://youxelteam.visualstudio.com/CheckNow/_workitems/edit/228960/?view=edit" TargetMode="External"/><Relationship Id="rId26" Type="http://schemas.openxmlformats.org/officeDocument/2006/relationships/hyperlink" Target="https://youxelteam.visualstudio.com/CheckNow/_workitems/edit/195967/?view=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9645-930F-BD4C-9F00-4FFFF937E58D}">
  <dimension ref="A1"/>
  <sheetViews>
    <sheetView topLeftCell="A8" zoomScale="75" zoomScaleNormal="75" workbookViewId="0">
      <selection activeCell="AH18" sqref="AH18"/>
    </sheetView>
  </sheetViews>
  <sheetFormatPr baseColWidth="10"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1C92-98EB-494F-8827-A33823858C4E}">
  <dimension ref="A1"/>
  <sheetViews>
    <sheetView workbookViewId="0">
      <selection activeCell="G79" sqref="G79"/>
    </sheetView>
  </sheetViews>
  <sheetFormatPr baseColWidth="10" defaultRowHeight="15"/>
  <cols>
    <col min="9" max="9" width="5.164062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9E91-3EF6-CF44-8690-7213EC844FD8}">
  <dimension ref="B2:AC193"/>
  <sheetViews>
    <sheetView zoomScale="125" zoomScaleNormal="125" workbookViewId="0">
      <selection activeCell="D19" sqref="D19"/>
    </sheetView>
  </sheetViews>
  <sheetFormatPr baseColWidth="10" defaultColWidth="14.33203125" defaultRowHeight="15"/>
  <cols>
    <col min="1" max="1" width="14.33203125" style="2"/>
    <col min="2" max="2" width="27.5" style="2" customWidth="1"/>
    <col min="3" max="3" width="23.83203125" style="2" customWidth="1"/>
    <col min="4" max="4" width="90.33203125" style="2" bestFit="1" customWidth="1"/>
    <col min="5" max="5" width="103.83203125" style="2" bestFit="1" customWidth="1"/>
    <col min="6" max="6" width="18.1640625" style="2" customWidth="1"/>
    <col min="7" max="7" width="13" style="2" bestFit="1" customWidth="1"/>
    <col min="8" max="8" width="36.5" style="2" bestFit="1" customWidth="1"/>
    <col min="9" max="10" width="12.6640625" style="2" bestFit="1" customWidth="1"/>
    <col min="11" max="11" width="12.33203125" style="2" bestFit="1" customWidth="1"/>
    <col min="12" max="12" width="5.83203125" style="2" bestFit="1" customWidth="1"/>
    <col min="13" max="13" width="6.33203125" style="2" bestFit="1" customWidth="1"/>
    <col min="14" max="14" width="5.5" style="2" bestFit="1" customWidth="1"/>
    <col min="15" max="16" width="12.5" style="2" bestFit="1" customWidth="1"/>
    <col min="17" max="17" width="26.1640625" style="2" bestFit="1" customWidth="1"/>
    <col min="18" max="18" width="15.6640625" style="2" bestFit="1" customWidth="1"/>
    <col min="19" max="19" width="10.1640625" style="2" bestFit="1" customWidth="1"/>
    <col min="20" max="20" width="14.33203125" style="2"/>
    <col min="21" max="21" width="42.83203125" style="2" bestFit="1" customWidth="1"/>
    <col min="22" max="22" width="11.6640625" style="2" bestFit="1" customWidth="1"/>
    <col min="23" max="23" width="32.33203125" style="2" bestFit="1" customWidth="1"/>
    <col min="24" max="24" width="17.6640625" style="2" bestFit="1" customWidth="1"/>
    <col min="25" max="25" width="19.1640625" style="2" bestFit="1" customWidth="1"/>
    <col min="26" max="26" width="16.83203125" style="2" bestFit="1" customWidth="1"/>
    <col min="27" max="27" width="4.1640625" style="2" customWidth="1"/>
    <col min="28" max="28" width="11.6640625" style="2" bestFit="1" customWidth="1"/>
    <col min="29" max="29" width="4.83203125" style="2" bestFit="1" customWidth="1"/>
    <col min="30" max="16384" width="14.33203125" style="2"/>
  </cols>
  <sheetData>
    <row r="2" spans="2:4">
      <c r="B2" s="118" t="s">
        <v>450</v>
      </c>
    </row>
    <row r="3" spans="2:4">
      <c r="B3" s="117" t="s">
        <v>444</v>
      </c>
      <c r="C3" s="6" t="s">
        <v>302</v>
      </c>
      <c r="D3" s="6" t="s">
        <v>447</v>
      </c>
    </row>
    <row r="4" spans="2:4">
      <c r="B4" s="117" t="s">
        <v>448</v>
      </c>
      <c r="C4" s="116">
        <v>46047</v>
      </c>
      <c r="D4" s="6" t="s">
        <v>447</v>
      </c>
    </row>
    <row r="5" spans="2:4">
      <c r="B5" s="117" t="s">
        <v>449</v>
      </c>
      <c r="C5" s="116">
        <v>46058</v>
      </c>
      <c r="D5" s="6" t="s">
        <v>447</v>
      </c>
    </row>
    <row r="6" spans="2:4">
      <c r="B6" s="117" t="s">
        <v>445</v>
      </c>
      <c r="C6" s="6" t="s">
        <v>446</v>
      </c>
      <c r="D6" s="6" t="s">
        <v>447</v>
      </c>
    </row>
    <row r="7" spans="2:4">
      <c r="B7" s="117" t="s">
        <v>86</v>
      </c>
      <c r="C7" s="18">
        <v>0</v>
      </c>
      <c r="D7" s="6" t="s">
        <v>447</v>
      </c>
    </row>
    <row r="8" spans="2:4">
      <c r="B8" s="117" t="s">
        <v>82</v>
      </c>
      <c r="C8" s="18">
        <v>2</v>
      </c>
      <c r="D8" s="6" t="s">
        <v>452</v>
      </c>
    </row>
    <row r="9" spans="2:4">
      <c r="B9" s="117" t="s">
        <v>83</v>
      </c>
      <c r="C9" s="18">
        <v>10</v>
      </c>
      <c r="D9" s="6" t="s">
        <v>453</v>
      </c>
    </row>
    <row r="10" spans="2:4">
      <c r="B10" s="117" t="s">
        <v>87</v>
      </c>
      <c r="C10" s="18">
        <v>57</v>
      </c>
      <c r="D10" s="6" t="s">
        <v>447</v>
      </c>
    </row>
    <row r="11" spans="2:4">
      <c r="B11" s="117" t="s">
        <v>88</v>
      </c>
      <c r="C11" s="18">
        <v>102</v>
      </c>
      <c r="D11" s="6" t="s">
        <v>447</v>
      </c>
    </row>
    <row r="12" spans="2:4">
      <c r="B12" s="117" t="s">
        <v>89</v>
      </c>
      <c r="C12" s="18">
        <v>569</v>
      </c>
      <c r="D12" s="6" t="s">
        <v>454</v>
      </c>
    </row>
    <row r="13" spans="2:4">
      <c r="B13" s="117" t="s">
        <v>90</v>
      </c>
      <c r="C13" s="18">
        <v>776.45999999999992</v>
      </c>
      <c r="D13" s="6" t="s">
        <v>455</v>
      </c>
    </row>
    <row r="14" spans="2:4">
      <c r="B14" s="117" t="s">
        <v>91</v>
      </c>
      <c r="C14" s="18">
        <v>97</v>
      </c>
      <c r="D14" s="6" t="s">
        <v>456</v>
      </c>
    </row>
    <row r="15" spans="2:4">
      <c r="B15" s="117" t="s">
        <v>92</v>
      </c>
      <c r="C15" s="18">
        <v>99.5</v>
      </c>
      <c r="D15" s="6" t="s">
        <v>457</v>
      </c>
    </row>
    <row r="16" spans="2:4">
      <c r="B16" s="117" t="s">
        <v>93</v>
      </c>
      <c r="C16" s="18">
        <v>2</v>
      </c>
      <c r="D16" s="6" t="s">
        <v>458</v>
      </c>
    </row>
    <row r="17" spans="2:29">
      <c r="B17" s="117" t="s">
        <v>94</v>
      </c>
      <c r="C17" s="18">
        <v>875.96</v>
      </c>
      <c r="D17" s="6" t="s">
        <v>459</v>
      </c>
    </row>
    <row r="18" spans="2:29">
      <c r="B18" s="117" t="s">
        <v>95</v>
      </c>
      <c r="C18" s="18">
        <v>680</v>
      </c>
      <c r="D18" s="6" t="s">
        <v>461</v>
      </c>
    </row>
    <row r="20" spans="2:29">
      <c r="B20" s="118" t="s">
        <v>451</v>
      </c>
      <c r="U20" s="118" t="s">
        <v>460</v>
      </c>
    </row>
    <row r="21" spans="2:29" ht="16">
      <c r="B21" s="117" t="s">
        <v>26</v>
      </c>
      <c r="C21" s="117" t="s">
        <v>27</v>
      </c>
      <c r="D21" s="117" t="s">
        <v>28</v>
      </c>
      <c r="E21" s="117" t="s">
        <v>29</v>
      </c>
      <c r="F21" s="117" t="s">
        <v>31</v>
      </c>
      <c r="G21" s="117" t="s">
        <v>30</v>
      </c>
      <c r="H21" s="117" t="s">
        <v>179</v>
      </c>
      <c r="I21" s="117" t="s">
        <v>180</v>
      </c>
      <c r="J21" s="117" t="s">
        <v>181</v>
      </c>
      <c r="K21" s="117" t="s">
        <v>182</v>
      </c>
      <c r="L21" s="117" t="s">
        <v>183</v>
      </c>
      <c r="M21" s="117" t="s">
        <v>184</v>
      </c>
      <c r="N21" s="117" t="s">
        <v>185</v>
      </c>
      <c r="O21" s="117" t="s">
        <v>186</v>
      </c>
      <c r="P21" s="117" t="s">
        <v>187</v>
      </c>
      <c r="Q21" s="117" t="s">
        <v>188</v>
      </c>
      <c r="R21" s="117" t="s">
        <v>189</v>
      </c>
      <c r="S21" s="117" t="s">
        <v>190</v>
      </c>
      <c r="U21" s="114" t="s">
        <v>0</v>
      </c>
      <c r="V21" s="114" t="s">
        <v>1</v>
      </c>
      <c r="W21" s="114" t="s">
        <v>2</v>
      </c>
      <c r="X21" s="114" t="s">
        <v>3</v>
      </c>
      <c r="Y21" s="114" t="s">
        <v>4</v>
      </c>
      <c r="Z21" s="114" t="s">
        <v>5</v>
      </c>
      <c r="AA21" s="3"/>
      <c r="AB21" s="114" t="s">
        <v>1</v>
      </c>
      <c r="AC21" s="114" t="s">
        <v>6</v>
      </c>
    </row>
    <row r="22" spans="2:29" ht="16">
      <c r="B22" s="8"/>
      <c r="C22" s="95">
        <v>260177</v>
      </c>
      <c r="D22" s="8" t="s">
        <v>211</v>
      </c>
      <c r="E22" s="8" t="s">
        <v>212</v>
      </c>
      <c r="F22" s="8"/>
      <c r="G22" s="8" t="s">
        <v>81</v>
      </c>
      <c r="H22" s="8" t="s">
        <v>12</v>
      </c>
      <c r="I22" s="8">
        <v>3</v>
      </c>
      <c r="J22" s="8">
        <v>6</v>
      </c>
      <c r="K22" s="8">
        <v>0</v>
      </c>
      <c r="L22" s="8">
        <v>2</v>
      </c>
      <c r="M22" s="8"/>
      <c r="N22" s="8"/>
      <c r="O22" s="8"/>
      <c r="P22" s="8"/>
      <c r="Q22" s="8"/>
      <c r="R22" s="8" t="s">
        <v>8</v>
      </c>
      <c r="S22" s="8" t="s">
        <v>13</v>
      </c>
      <c r="U22" s="6" t="s">
        <v>7</v>
      </c>
      <c r="V22" s="5" t="s">
        <v>8</v>
      </c>
      <c r="W22" s="6">
        <f t="shared" ref="W22" si="0">7*10</f>
        <v>70</v>
      </c>
      <c r="X22" s="6">
        <v>0</v>
      </c>
      <c r="Y22" s="6">
        <v>1</v>
      </c>
      <c r="Z22" s="6">
        <f>7*9</f>
        <v>63</v>
      </c>
      <c r="AA22" s="3"/>
      <c r="AB22" s="4" t="s">
        <v>9</v>
      </c>
      <c r="AC22" s="6">
        <f>SUMIF(V22:V32,V31,Z22:Z32)</f>
        <v>203</v>
      </c>
    </row>
    <row r="23" spans="2:29" ht="16">
      <c r="B23" s="8"/>
      <c r="C23" s="95">
        <v>260177</v>
      </c>
      <c r="D23" s="8" t="s">
        <v>211</v>
      </c>
      <c r="E23" s="8" t="s">
        <v>325</v>
      </c>
      <c r="F23" s="8"/>
      <c r="G23" s="8" t="s">
        <v>81</v>
      </c>
      <c r="H23" s="8" t="s">
        <v>12</v>
      </c>
      <c r="I23" s="8">
        <v>5</v>
      </c>
      <c r="J23" s="8">
        <v>4</v>
      </c>
      <c r="K23" s="8">
        <v>1</v>
      </c>
      <c r="L23" s="8">
        <v>2</v>
      </c>
      <c r="M23" s="8"/>
      <c r="N23" s="8"/>
      <c r="O23" s="8"/>
      <c r="P23" s="8"/>
      <c r="Q23" s="8"/>
      <c r="R23" s="8" t="s">
        <v>8</v>
      </c>
      <c r="S23" s="8" t="s">
        <v>13</v>
      </c>
      <c r="U23" s="6" t="s">
        <v>10</v>
      </c>
      <c r="V23" s="5" t="s">
        <v>11</v>
      </c>
      <c r="W23" s="6">
        <f>7*10</f>
        <v>70</v>
      </c>
      <c r="X23" s="6">
        <v>0</v>
      </c>
      <c r="Y23" s="6">
        <v>1</v>
      </c>
      <c r="Z23" s="6">
        <f>7*9</f>
        <v>63</v>
      </c>
      <c r="AA23" s="3"/>
      <c r="AB23" s="4" t="s">
        <v>8</v>
      </c>
      <c r="AC23" s="6">
        <f>SUMIF(V22:V32,V27,Z22:Z32)</f>
        <v>189</v>
      </c>
    </row>
    <row r="24" spans="2:29" ht="16">
      <c r="B24" s="8"/>
      <c r="C24" s="95">
        <v>251892</v>
      </c>
      <c r="D24" s="8" t="s">
        <v>211</v>
      </c>
      <c r="E24" s="8" t="s">
        <v>326</v>
      </c>
      <c r="F24" s="8"/>
      <c r="G24" s="8" t="s">
        <v>81</v>
      </c>
      <c r="H24" s="8" t="s">
        <v>16</v>
      </c>
      <c r="I24" s="8">
        <v>2</v>
      </c>
      <c r="J24" s="8">
        <v>2</v>
      </c>
      <c r="K24" s="8">
        <v>0</v>
      </c>
      <c r="L24" s="8">
        <v>2</v>
      </c>
      <c r="M24" s="8"/>
      <c r="N24" s="8"/>
      <c r="O24" s="8"/>
      <c r="P24" s="8"/>
      <c r="Q24" s="8" t="s">
        <v>82</v>
      </c>
      <c r="R24" s="8" t="s">
        <v>8</v>
      </c>
      <c r="S24" s="8" t="s">
        <v>13</v>
      </c>
      <c r="U24" s="6" t="s">
        <v>12</v>
      </c>
      <c r="V24" s="5" t="s">
        <v>11</v>
      </c>
      <c r="W24" s="6">
        <f>4*10</f>
        <v>40</v>
      </c>
      <c r="X24" s="6">
        <v>0</v>
      </c>
      <c r="Y24" s="6">
        <v>1</v>
      </c>
      <c r="Z24" s="6">
        <f>4*9</f>
        <v>36</v>
      </c>
      <c r="AA24" s="3"/>
      <c r="AB24" s="4" t="s">
        <v>13</v>
      </c>
      <c r="AC24" s="6">
        <f>SUMIF(V22:V32,V26,Z22:Z32)</f>
        <v>218</v>
      </c>
    </row>
    <row r="25" spans="2:29" ht="16">
      <c r="B25" s="8"/>
      <c r="C25" s="95">
        <v>251892</v>
      </c>
      <c r="D25" s="8" t="s">
        <v>211</v>
      </c>
      <c r="E25" s="8" t="s">
        <v>213</v>
      </c>
      <c r="F25" s="8"/>
      <c r="G25" s="8" t="s">
        <v>81</v>
      </c>
      <c r="H25" s="8" t="s">
        <v>23</v>
      </c>
      <c r="I25" s="8">
        <v>4</v>
      </c>
      <c r="J25" s="8">
        <v>13.67</v>
      </c>
      <c r="K25" s="8">
        <v>0</v>
      </c>
      <c r="L25" s="8">
        <v>2</v>
      </c>
      <c r="M25" s="8"/>
      <c r="N25" s="8"/>
      <c r="O25" s="8"/>
      <c r="P25" s="8"/>
      <c r="Q25" s="8"/>
      <c r="R25" s="8" t="s">
        <v>9</v>
      </c>
      <c r="S25" s="8" t="s">
        <v>9</v>
      </c>
      <c r="U25" s="6" t="s">
        <v>14</v>
      </c>
      <c r="V25" s="5" t="s">
        <v>15</v>
      </c>
      <c r="W25" s="6">
        <f t="shared" ref="W25:W32" si="1">7*10</f>
        <v>70</v>
      </c>
      <c r="X25" s="6">
        <v>0</v>
      </c>
      <c r="Y25" s="6">
        <v>0</v>
      </c>
      <c r="Z25" s="6">
        <f t="shared" ref="Z25:Z31" si="2">7*10</f>
        <v>70</v>
      </c>
      <c r="AA25" s="3"/>
      <c r="AB25" s="5" t="s">
        <v>15</v>
      </c>
      <c r="AC25" s="6">
        <f>SUMIF(V22:V32,V25,Z22:Z32)</f>
        <v>70</v>
      </c>
    </row>
    <row r="26" spans="2:29" ht="16">
      <c r="B26" s="8"/>
      <c r="C26" s="95">
        <v>233816</v>
      </c>
      <c r="D26" s="8" t="s">
        <v>211</v>
      </c>
      <c r="E26" s="8" t="s">
        <v>327</v>
      </c>
      <c r="F26" s="8"/>
      <c r="G26" s="8" t="s">
        <v>81</v>
      </c>
      <c r="H26" s="8" t="s">
        <v>23</v>
      </c>
      <c r="I26" s="8">
        <v>4</v>
      </c>
      <c r="J26" s="8">
        <v>2.5</v>
      </c>
      <c r="K26" s="8">
        <v>0</v>
      </c>
      <c r="L26" s="8">
        <v>2</v>
      </c>
      <c r="M26" s="8"/>
      <c r="N26" s="8"/>
      <c r="O26" s="8"/>
      <c r="P26" s="8"/>
      <c r="Q26" s="8"/>
      <c r="R26" s="8" t="s">
        <v>9</v>
      </c>
      <c r="S26" s="8" t="s">
        <v>9</v>
      </c>
      <c r="U26" s="6" t="s">
        <v>16</v>
      </c>
      <c r="V26" s="5" t="s">
        <v>11</v>
      </c>
      <c r="W26" s="6">
        <f t="shared" si="1"/>
        <v>70</v>
      </c>
      <c r="X26" s="6">
        <v>0</v>
      </c>
      <c r="Y26" s="6">
        <v>0</v>
      </c>
      <c r="Z26" s="6">
        <f t="shared" si="2"/>
        <v>70</v>
      </c>
      <c r="AA26" s="3"/>
      <c r="AB26" s="8" t="s">
        <v>17</v>
      </c>
      <c r="AC26" s="6">
        <f>SUMIF(V22:V32,#REF!,Z22:Z32)</f>
        <v>0</v>
      </c>
    </row>
    <row r="27" spans="2:29" ht="16">
      <c r="B27" s="8"/>
      <c r="C27" s="95">
        <v>233934</v>
      </c>
      <c r="D27" s="8" t="s">
        <v>211</v>
      </c>
      <c r="E27" s="8" t="s">
        <v>214</v>
      </c>
      <c r="F27" s="8"/>
      <c r="G27" s="8" t="s">
        <v>81</v>
      </c>
      <c r="H27" s="8" t="s">
        <v>16</v>
      </c>
      <c r="I27" s="8">
        <v>3</v>
      </c>
      <c r="J27" s="8">
        <v>3</v>
      </c>
      <c r="K27" s="8">
        <v>0</v>
      </c>
      <c r="L27" s="8">
        <v>2</v>
      </c>
      <c r="M27" s="8"/>
      <c r="N27" s="8"/>
      <c r="O27" s="8"/>
      <c r="P27" s="8"/>
      <c r="Q27" s="8"/>
      <c r="R27" s="8" t="s">
        <v>8</v>
      </c>
      <c r="S27" s="8" t="s">
        <v>13</v>
      </c>
      <c r="U27" s="6" t="s">
        <v>18</v>
      </c>
      <c r="V27" s="5" t="s">
        <v>8</v>
      </c>
      <c r="W27" s="6">
        <f t="shared" si="1"/>
        <v>70</v>
      </c>
      <c r="X27" s="6">
        <v>0</v>
      </c>
      <c r="Y27" s="6">
        <v>2</v>
      </c>
      <c r="Z27" s="6">
        <f>7*8</f>
        <v>56</v>
      </c>
      <c r="AA27" s="3"/>
      <c r="AB27" s="8" t="s">
        <v>19</v>
      </c>
      <c r="AC27" s="6">
        <f>SUMIF(V22:V32,#REF!,Z22:Z32)</f>
        <v>0</v>
      </c>
    </row>
    <row r="28" spans="2:29" ht="16">
      <c r="B28" s="8"/>
      <c r="C28" s="95">
        <v>255495</v>
      </c>
      <c r="D28" s="8" t="s">
        <v>211</v>
      </c>
      <c r="E28" s="8" t="s">
        <v>215</v>
      </c>
      <c r="F28" s="8"/>
      <c r="G28" s="8" t="s">
        <v>81</v>
      </c>
      <c r="H28" s="8" t="s">
        <v>16</v>
      </c>
      <c r="I28" s="8">
        <v>4</v>
      </c>
      <c r="J28" s="8">
        <v>4</v>
      </c>
      <c r="K28" s="8">
        <v>0</v>
      </c>
      <c r="L28" s="8">
        <v>2</v>
      </c>
      <c r="M28" s="8"/>
      <c r="N28" s="8"/>
      <c r="O28" s="8"/>
      <c r="P28" s="8"/>
      <c r="Q28" s="8"/>
      <c r="R28" s="8" t="s">
        <v>8</v>
      </c>
      <c r="S28" s="8" t="s">
        <v>13</v>
      </c>
      <c r="U28" s="6" t="s">
        <v>20</v>
      </c>
      <c r="V28" s="5" t="s">
        <v>8</v>
      </c>
      <c r="W28" s="6">
        <f t="shared" si="1"/>
        <v>70</v>
      </c>
      <c r="X28" s="6">
        <v>0</v>
      </c>
      <c r="Y28" s="6">
        <v>0</v>
      </c>
      <c r="Z28" s="6">
        <f t="shared" si="2"/>
        <v>70</v>
      </c>
      <c r="AA28" s="3"/>
      <c r="AB28" s="9" t="s">
        <v>24</v>
      </c>
      <c r="AC28" s="10">
        <f>SUM(AC22:AC27)</f>
        <v>680</v>
      </c>
    </row>
    <row r="29" spans="2:29" ht="16">
      <c r="B29" s="8"/>
      <c r="C29" s="95">
        <v>255495</v>
      </c>
      <c r="D29" s="8" t="s">
        <v>211</v>
      </c>
      <c r="E29" s="8" t="s">
        <v>328</v>
      </c>
      <c r="F29" s="8"/>
      <c r="G29" s="8" t="s">
        <v>42</v>
      </c>
      <c r="H29" s="8" t="s">
        <v>217</v>
      </c>
      <c r="I29" s="8">
        <v>5</v>
      </c>
      <c r="J29" s="8">
        <v>4.4000000000000004</v>
      </c>
      <c r="K29" s="8">
        <v>0.6</v>
      </c>
      <c r="L29" s="8">
        <v>2</v>
      </c>
      <c r="M29" s="8"/>
      <c r="N29" s="8"/>
      <c r="O29" s="8"/>
      <c r="P29" s="8"/>
      <c r="Q29" s="8"/>
      <c r="R29" s="8" t="s">
        <v>9</v>
      </c>
      <c r="S29" s="8" t="s">
        <v>9</v>
      </c>
      <c r="U29" s="6" t="s">
        <v>217</v>
      </c>
      <c r="V29" s="5" t="s">
        <v>9</v>
      </c>
      <c r="W29" s="6">
        <f t="shared" si="1"/>
        <v>70</v>
      </c>
      <c r="X29" s="6">
        <v>0</v>
      </c>
      <c r="Y29" s="6">
        <v>0</v>
      </c>
      <c r="Z29" s="6">
        <f t="shared" si="2"/>
        <v>70</v>
      </c>
      <c r="AA29" s="3"/>
      <c r="AB29" s="3"/>
      <c r="AC29" s="3"/>
    </row>
    <row r="30" spans="2:29" ht="16">
      <c r="B30" s="8"/>
      <c r="C30" s="95">
        <v>250832</v>
      </c>
      <c r="D30" s="8" t="s">
        <v>211</v>
      </c>
      <c r="E30" s="8" t="s">
        <v>216</v>
      </c>
      <c r="F30" s="8"/>
      <c r="G30" s="8" t="s">
        <v>35</v>
      </c>
      <c r="H30" s="8" t="s">
        <v>23</v>
      </c>
      <c r="I30" s="8">
        <v>5</v>
      </c>
      <c r="J30" s="8">
        <v>5</v>
      </c>
      <c r="K30" s="8">
        <v>0</v>
      </c>
      <c r="L30" s="8">
        <v>2</v>
      </c>
      <c r="M30" s="8"/>
      <c r="N30" s="8"/>
      <c r="O30" s="8"/>
      <c r="P30" s="8"/>
      <c r="Q30" s="8"/>
      <c r="R30" s="8" t="s">
        <v>9</v>
      </c>
      <c r="S30" s="8" t="s">
        <v>9</v>
      </c>
      <c r="U30" s="6" t="s">
        <v>21</v>
      </c>
      <c r="V30" s="5" t="s">
        <v>11</v>
      </c>
      <c r="W30" s="6">
        <f t="shared" si="1"/>
        <v>70</v>
      </c>
      <c r="X30" s="6">
        <v>0</v>
      </c>
      <c r="Y30" s="6">
        <v>3</v>
      </c>
      <c r="Z30" s="6">
        <f>7*7</f>
        <v>49</v>
      </c>
      <c r="AA30" s="3"/>
      <c r="AB30" s="3"/>
      <c r="AC30" s="3"/>
    </row>
    <row r="31" spans="2:29" ht="16">
      <c r="B31" s="8"/>
      <c r="C31" s="95">
        <v>250832</v>
      </c>
      <c r="D31" s="8" t="s">
        <v>211</v>
      </c>
      <c r="E31" s="8" t="s">
        <v>218</v>
      </c>
      <c r="F31" s="8"/>
      <c r="G31" s="8" t="s">
        <v>81</v>
      </c>
      <c r="H31" s="8" t="s">
        <v>217</v>
      </c>
      <c r="I31" s="8">
        <v>3</v>
      </c>
      <c r="J31" s="8">
        <v>7.67</v>
      </c>
      <c r="K31" s="8">
        <v>0</v>
      </c>
      <c r="L31" s="8">
        <v>2</v>
      </c>
      <c r="M31" s="8"/>
      <c r="N31" s="8"/>
      <c r="O31" s="8"/>
      <c r="P31" s="8"/>
      <c r="Q31" s="8"/>
      <c r="R31" s="8" t="s">
        <v>9</v>
      </c>
      <c r="S31" s="8" t="s">
        <v>9</v>
      </c>
      <c r="U31" s="6" t="s">
        <v>22</v>
      </c>
      <c r="V31" s="5" t="s">
        <v>9</v>
      </c>
      <c r="W31" s="6">
        <f t="shared" si="1"/>
        <v>70</v>
      </c>
      <c r="X31" s="6">
        <v>0</v>
      </c>
      <c r="Y31" s="6">
        <v>0</v>
      </c>
      <c r="Z31" s="6">
        <f t="shared" si="2"/>
        <v>70</v>
      </c>
      <c r="AA31" s="3"/>
      <c r="AB31" s="3"/>
      <c r="AC31" s="3"/>
    </row>
    <row r="32" spans="2:29" ht="16">
      <c r="B32" s="8"/>
      <c r="C32" s="95">
        <v>250832</v>
      </c>
      <c r="D32" s="8" t="s">
        <v>211</v>
      </c>
      <c r="E32" s="8" t="s">
        <v>219</v>
      </c>
      <c r="F32" s="8"/>
      <c r="G32" s="8" t="s">
        <v>81</v>
      </c>
      <c r="H32" s="8" t="s">
        <v>217</v>
      </c>
      <c r="I32" s="8">
        <v>5</v>
      </c>
      <c r="J32" s="8">
        <v>16.34</v>
      </c>
      <c r="K32" s="8">
        <v>0</v>
      </c>
      <c r="L32" s="8">
        <v>2</v>
      </c>
      <c r="M32" s="8"/>
      <c r="N32" s="8"/>
      <c r="O32" s="8"/>
      <c r="P32" s="8"/>
      <c r="Q32" s="8"/>
      <c r="R32" s="8" t="s">
        <v>9</v>
      </c>
      <c r="S32" s="8" t="s">
        <v>9</v>
      </c>
      <c r="U32" s="6" t="s">
        <v>23</v>
      </c>
      <c r="V32" s="5" t="s">
        <v>9</v>
      </c>
      <c r="W32" s="6">
        <f t="shared" si="1"/>
        <v>70</v>
      </c>
      <c r="X32" s="6">
        <v>0</v>
      </c>
      <c r="Y32" s="6">
        <v>1</v>
      </c>
      <c r="Z32" s="6">
        <f>7*9</f>
        <v>63</v>
      </c>
      <c r="AA32" s="3"/>
      <c r="AB32" s="3"/>
      <c r="AC32" s="3"/>
    </row>
    <row r="33" spans="2:29" ht="16">
      <c r="B33" s="8"/>
      <c r="C33" s="95">
        <v>250832</v>
      </c>
      <c r="D33" s="8" t="s">
        <v>211</v>
      </c>
      <c r="E33" s="8" t="s">
        <v>221</v>
      </c>
      <c r="F33" s="8"/>
      <c r="G33" s="8" t="s">
        <v>81</v>
      </c>
      <c r="H33" s="8" t="s">
        <v>217</v>
      </c>
      <c r="I33" s="8">
        <v>3</v>
      </c>
      <c r="J33" s="8">
        <v>3.5</v>
      </c>
      <c r="K33" s="8">
        <v>0</v>
      </c>
      <c r="L33" s="8">
        <v>2</v>
      </c>
      <c r="M33" s="8"/>
      <c r="N33" s="8"/>
      <c r="O33" s="8"/>
      <c r="P33" s="8"/>
      <c r="Q33" s="8"/>
      <c r="R33" s="8" t="s">
        <v>9</v>
      </c>
      <c r="S33" s="8" t="s">
        <v>9</v>
      </c>
      <c r="U33" s="115" t="s">
        <v>24</v>
      </c>
      <c r="V33" s="3"/>
      <c r="W33" s="3"/>
      <c r="X33" s="3"/>
      <c r="Y33" s="3"/>
      <c r="Z33" s="10">
        <f>SUM(Z22:Z32)</f>
        <v>680</v>
      </c>
      <c r="AA33" s="3"/>
      <c r="AB33" s="3"/>
      <c r="AC33" s="3"/>
    </row>
    <row r="34" spans="2:29">
      <c r="B34" s="8"/>
      <c r="C34" s="95">
        <v>250832</v>
      </c>
      <c r="D34" s="8" t="s">
        <v>211</v>
      </c>
      <c r="E34" s="8" t="s">
        <v>222</v>
      </c>
      <c r="F34" s="8"/>
      <c r="G34" s="8" t="s">
        <v>81</v>
      </c>
      <c r="H34" s="8" t="s">
        <v>217</v>
      </c>
      <c r="I34" s="8">
        <v>2</v>
      </c>
      <c r="J34" s="8">
        <v>14.5</v>
      </c>
      <c r="K34" s="8">
        <v>0</v>
      </c>
      <c r="L34" s="8">
        <v>2</v>
      </c>
      <c r="M34" s="8"/>
      <c r="N34" s="8"/>
      <c r="O34" s="8"/>
      <c r="P34" s="8"/>
      <c r="Q34" s="8"/>
      <c r="R34" s="8" t="s">
        <v>9</v>
      </c>
      <c r="S34" s="8" t="s">
        <v>9</v>
      </c>
    </row>
    <row r="35" spans="2:29">
      <c r="B35" s="8"/>
      <c r="C35" s="95">
        <v>250832</v>
      </c>
      <c r="D35" s="8" t="s">
        <v>211</v>
      </c>
      <c r="E35" s="8" t="s">
        <v>223</v>
      </c>
      <c r="F35" s="8"/>
      <c r="G35" s="8" t="s">
        <v>81</v>
      </c>
      <c r="H35" s="8" t="s">
        <v>217</v>
      </c>
      <c r="I35" s="8">
        <v>3</v>
      </c>
      <c r="J35" s="8">
        <v>3.92</v>
      </c>
      <c r="K35" s="8">
        <v>0</v>
      </c>
      <c r="L35" s="8">
        <v>2</v>
      </c>
      <c r="M35" s="8"/>
      <c r="N35" s="8"/>
      <c r="O35" s="8"/>
      <c r="P35" s="8"/>
      <c r="Q35" s="8"/>
      <c r="R35" s="8" t="s">
        <v>9</v>
      </c>
      <c r="S35" s="8" t="s">
        <v>9</v>
      </c>
    </row>
    <row r="36" spans="2:29">
      <c r="B36" s="8"/>
      <c r="C36" s="95">
        <v>250832</v>
      </c>
      <c r="D36" s="8" t="s">
        <v>211</v>
      </c>
      <c r="E36" s="8" t="s">
        <v>224</v>
      </c>
      <c r="F36" s="8"/>
      <c r="G36" s="8" t="s">
        <v>81</v>
      </c>
      <c r="H36" s="8" t="s">
        <v>217</v>
      </c>
      <c r="I36" s="8">
        <v>6</v>
      </c>
      <c r="J36" s="8">
        <v>7.07</v>
      </c>
      <c r="K36" s="8">
        <v>0</v>
      </c>
      <c r="L36" s="8">
        <v>2</v>
      </c>
      <c r="M36" s="8"/>
      <c r="N36" s="8"/>
      <c r="O36" s="8"/>
      <c r="P36" s="8"/>
      <c r="Q36" s="8"/>
      <c r="R36" s="8" t="s">
        <v>9</v>
      </c>
      <c r="S36" s="8" t="s">
        <v>9</v>
      </c>
    </row>
    <row r="37" spans="2:29">
      <c r="B37" s="8"/>
      <c r="C37" s="95">
        <v>250832</v>
      </c>
      <c r="D37" s="8" t="s">
        <v>211</v>
      </c>
      <c r="E37" s="8" t="s">
        <v>225</v>
      </c>
      <c r="F37" s="8"/>
      <c r="G37" s="8" t="s">
        <v>81</v>
      </c>
      <c r="H37" s="8" t="s">
        <v>217</v>
      </c>
      <c r="I37" s="8">
        <v>4</v>
      </c>
      <c r="J37" s="8">
        <v>6</v>
      </c>
      <c r="K37" s="8">
        <v>0</v>
      </c>
      <c r="L37" s="8">
        <v>2</v>
      </c>
      <c r="M37" s="8"/>
      <c r="N37" s="8"/>
      <c r="O37" s="8"/>
      <c r="P37" s="8"/>
      <c r="Q37" s="8"/>
      <c r="R37" s="8" t="s">
        <v>226</v>
      </c>
      <c r="S37" s="8" t="s">
        <v>9</v>
      </c>
    </row>
    <row r="38" spans="2:29">
      <c r="B38" s="8"/>
      <c r="C38" s="95">
        <v>250832</v>
      </c>
      <c r="D38" s="8" t="s">
        <v>211</v>
      </c>
      <c r="E38" s="8" t="s">
        <v>227</v>
      </c>
      <c r="F38" s="8"/>
      <c r="G38" s="8" t="s">
        <v>81</v>
      </c>
      <c r="H38" s="8" t="s">
        <v>217</v>
      </c>
      <c r="I38" s="8">
        <v>5</v>
      </c>
      <c r="J38" s="8">
        <v>10.5</v>
      </c>
      <c r="K38" s="8">
        <v>0</v>
      </c>
      <c r="L38" s="8">
        <v>2</v>
      </c>
      <c r="M38" s="8"/>
      <c r="N38" s="8"/>
      <c r="O38" s="8"/>
      <c r="P38" s="8"/>
      <c r="Q38" s="8"/>
      <c r="R38" s="8" t="s">
        <v>9</v>
      </c>
      <c r="S38" s="8" t="s">
        <v>9</v>
      </c>
    </row>
    <row r="39" spans="2:29">
      <c r="B39" s="8"/>
      <c r="C39" s="95">
        <v>250832</v>
      </c>
      <c r="D39" s="8" t="s">
        <v>211</v>
      </c>
      <c r="E39" s="8" t="s">
        <v>329</v>
      </c>
      <c r="F39" s="8"/>
      <c r="G39" s="8" t="s">
        <v>81</v>
      </c>
      <c r="H39" s="8" t="s">
        <v>217</v>
      </c>
      <c r="I39" s="8">
        <v>3</v>
      </c>
      <c r="J39" s="8">
        <v>4.5</v>
      </c>
      <c r="K39" s="8">
        <v>0</v>
      </c>
      <c r="L39" s="8">
        <v>2</v>
      </c>
      <c r="M39" s="8"/>
      <c r="N39" s="8"/>
      <c r="O39" s="8"/>
      <c r="P39" s="8"/>
      <c r="Q39" s="8"/>
      <c r="R39" s="8" t="s">
        <v>226</v>
      </c>
      <c r="S39" s="8" t="s">
        <v>9</v>
      </c>
    </row>
    <row r="40" spans="2:29">
      <c r="B40" s="8"/>
      <c r="C40" s="95">
        <v>250832</v>
      </c>
      <c r="D40" s="8" t="s">
        <v>211</v>
      </c>
      <c r="E40" s="8" t="s">
        <v>330</v>
      </c>
      <c r="F40" s="8"/>
      <c r="G40" s="8" t="s">
        <v>35</v>
      </c>
      <c r="H40" s="8" t="s">
        <v>217</v>
      </c>
      <c r="I40" s="8">
        <v>7</v>
      </c>
      <c r="J40" s="8">
        <v>17</v>
      </c>
      <c r="K40" s="8">
        <v>0</v>
      </c>
      <c r="L40" s="8">
        <v>2</v>
      </c>
      <c r="M40" s="8"/>
      <c r="N40" s="8"/>
      <c r="O40" s="8"/>
      <c r="P40" s="8"/>
      <c r="Q40" s="8"/>
      <c r="R40" s="8" t="s">
        <v>9</v>
      </c>
      <c r="S40" s="8" t="s">
        <v>9</v>
      </c>
    </row>
    <row r="41" spans="2:29">
      <c r="B41" s="8"/>
      <c r="C41" s="95">
        <v>250832</v>
      </c>
      <c r="D41" s="8" t="s">
        <v>211</v>
      </c>
      <c r="E41" s="8" t="s">
        <v>331</v>
      </c>
      <c r="F41" s="8"/>
      <c r="G41" s="8" t="s">
        <v>81</v>
      </c>
      <c r="H41" s="8" t="s">
        <v>217</v>
      </c>
      <c r="I41" s="8">
        <v>4</v>
      </c>
      <c r="J41" s="8">
        <v>2</v>
      </c>
      <c r="K41" s="8">
        <v>2</v>
      </c>
      <c r="L41" s="8">
        <v>2</v>
      </c>
      <c r="M41" s="8"/>
      <c r="N41" s="8"/>
      <c r="O41" s="8"/>
      <c r="P41" s="8"/>
      <c r="Q41" s="8"/>
      <c r="R41" s="8" t="s">
        <v>226</v>
      </c>
      <c r="S41" s="8" t="s">
        <v>9</v>
      </c>
    </row>
    <row r="42" spans="2:29">
      <c r="B42" s="8"/>
      <c r="C42" s="95">
        <v>250832</v>
      </c>
      <c r="D42" s="8" t="s">
        <v>211</v>
      </c>
      <c r="E42" s="8" t="s">
        <v>332</v>
      </c>
      <c r="F42" s="8"/>
      <c r="G42" s="8" t="s">
        <v>81</v>
      </c>
      <c r="H42" s="8" t="s">
        <v>217</v>
      </c>
      <c r="I42" s="8">
        <v>3</v>
      </c>
      <c r="J42" s="8">
        <v>1.5</v>
      </c>
      <c r="K42" s="8">
        <v>1.5</v>
      </c>
      <c r="L42" s="8">
        <v>2</v>
      </c>
      <c r="M42" s="8"/>
      <c r="N42" s="8"/>
      <c r="O42" s="8"/>
      <c r="P42" s="8"/>
      <c r="Q42" s="8"/>
      <c r="R42" s="8" t="s">
        <v>9</v>
      </c>
      <c r="S42" s="8" t="s">
        <v>9</v>
      </c>
    </row>
    <row r="43" spans="2:29">
      <c r="B43" s="8"/>
      <c r="C43" s="95">
        <v>250832</v>
      </c>
      <c r="D43" s="8" t="s">
        <v>211</v>
      </c>
      <c r="E43" s="8" t="s">
        <v>228</v>
      </c>
      <c r="F43" s="8"/>
      <c r="G43" s="8" t="s">
        <v>35</v>
      </c>
      <c r="H43" s="8" t="s">
        <v>217</v>
      </c>
      <c r="I43" s="8">
        <v>2</v>
      </c>
      <c r="J43" s="8">
        <v>1.85</v>
      </c>
      <c r="K43" s="8">
        <v>0.15</v>
      </c>
      <c r="L43" s="8">
        <v>2</v>
      </c>
      <c r="M43" s="8"/>
      <c r="N43" s="8"/>
      <c r="O43" s="8"/>
      <c r="P43" s="8"/>
      <c r="Q43" s="8"/>
      <c r="R43" s="8" t="s">
        <v>9</v>
      </c>
      <c r="S43" s="8" t="s">
        <v>9</v>
      </c>
    </row>
    <row r="44" spans="2:29">
      <c r="B44" s="8"/>
      <c r="C44" s="95">
        <v>250832</v>
      </c>
      <c r="D44" s="8" t="s">
        <v>211</v>
      </c>
      <c r="E44" s="8" t="s">
        <v>333</v>
      </c>
      <c r="F44" s="8"/>
      <c r="G44" s="8" t="s">
        <v>77</v>
      </c>
      <c r="H44" s="8" t="s">
        <v>217</v>
      </c>
      <c r="I44" s="8">
        <v>1</v>
      </c>
      <c r="J44" s="8">
        <v>0</v>
      </c>
      <c r="K44" s="8">
        <v>1</v>
      </c>
      <c r="L44" s="8">
        <v>2</v>
      </c>
      <c r="M44" s="8"/>
      <c r="N44" s="8"/>
      <c r="O44" s="8"/>
      <c r="P44" s="8"/>
      <c r="Q44" s="8"/>
      <c r="R44" s="8" t="s">
        <v>9</v>
      </c>
      <c r="S44" s="8" t="s">
        <v>9</v>
      </c>
    </row>
    <row r="45" spans="2:29">
      <c r="B45" s="8"/>
      <c r="C45" s="95">
        <v>250832</v>
      </c>
      <c r="D45" s="8" t="s">
        <v>211</v>
      </c>
      <c r="E45" s="8" t="s">
        <v>220</v>
      </c>
      <c r="F45" s="8"/>
      <c r="G45" s="8" t="s">
        <v>77</v>
      </c>
      <c r="H45" s="8" t="s">
        <v>217</v>
      </c>
      <c r="I45" s="8">
        <v>1</v>
      </c>
      <c r="J45" s="8">
        <v>0</v>
      </c>
      <c r="K45" s="8">
        <v>1</v>
      </c>
      <c r="L45" s="8">
        <v>2</v>
      </c>
      <c r="M45" s="8"/>
      <c r="N45" s="8"/>
      <c r="O45" s="8"/>
      <c r="P45" s="8"/>
      <c r="Q45" s="8"/>
      <c r="R45" s="8" t="s">
        <v>9</v>
      </c>
      <c r="S45" s="8" t="s">
        <v>9</v>
      </c>
    </row>
    <row r="46" spans="2:29">
      <c r="B46" s="8"/>
      <c r="C46" s="95">
        <v>250832</v>
      </c>
      <c r="D46" s="8" t="s">
        <v>211</v>
      </c>
      <c r="E46" s="8" t="s">
        <v>334</v>
      </c>
      <c r="F46" s="8"/>
      <c r="G46" s="8" t="s">
        <v>77</v>
      </c>
      <c r="H46" s="8" t="s">
        <v>217</v>
      </c>
      <c r="I46" s="8">
        <v>2</v>
      </c>
      <c r="J46" s="8">
        <v>0</v>
      </c>
      <c r="K46" s="8">
        <v>2</v>
      </c>
      <c r="L46" s="8">
        <v>2</v>
      </c>
      <c r="M46" s="8"/>
      <c r="N46" s="8"/>
      <c r="O46" s="8"/>
      <c r="P46" s="8"/>
      <c r="Q46" s="8"/>
      <c r="R46" s="8" t="s">
        <v>9</v>
      </c>
      <c r="S46" s="8" t="s">
        <v>9</v>
      </c>
    </row>
    <row r="47" spans="2:29">
      <c r="B47" s="8"/>
      <c r="C47" s="95">
        <v>250832</v>
      </c>
      <c r="D47" s="8" t="s">
        <v>211</v>
      </c>
      <c r="E47" s="8" t="s">
        <v>335</v>
      </c>
      <c r="F47" s="8"/>
      <c r="G47" s="8" t="s">
        <v>81</v>
      </c>
      <c r="H47" s="8" t="s">
        <v>217</v>
      </c>
      <c r="I47" s="8">
        <v>5</v>
      </c>
      <c r="J47" s="8">
        <v>4</v>
      </c>
      <c r="K47" s="8">
        <v>1</v>
      </c>
      <c r="L47" s="8">
        <v>2</v>
      </c>
      <c r="M47" s="8"/>
      <c r="N47" s="8"/>
      <c r="O47" s="8"/>
      <c r="P47" s="8"/>
      <c r="Q47" s="8"/>
      <c r="R47" s="8" t="s">
        <v>9</v>
      </c>
      <c r="S47" s="8" t="s">
        <v>9</v>
      </c>
    </row>
    <row r="48" spans="2:29">
      <c r="B48" s="8"/>
      <c r="C48" s="95">
        <v>250832</v>
      </c>
      <c r="D48" s="8" t="s">
        <v>211</v>
      </c>
      <c r="E48" s="8" t="s">
        <v>230</v>
      </c>
      <c r="F48" s="8"/>
      <c r="G48" s="8" t="s">
        <v>35</v>
      </c>
      <c r="H48" s="8" t="s">
        <v>23</v>
      </c>
      <c r="I48" s="8">
        <v>4</v>
      </c>
      <c r="J48" s="8">
        <v>4</v>
      </c>
      <c r="K48" s="8">
        <v>0</v>
      </c>
      <c r="L48" s="8">
        <v>2</v>
      </c>
      <c r="M48" s="8"/>
      <c r="N48" s="8"/>
      <c r="O48" s="8"/>
      <c r="P48" s="8"/>
      <c r="Q48" s="8"/>
      <c r="R48" s="8" t="s">
        <v>226</v>
      </c>
      <c r="S48" s="8" t="s">
        <v>9</v>
      </c>
    </row>
    <row r="49" spans="2:19">
      <c r="B49" s="8"/>
      <c r="C49" s="95">
        <v>250832</v>
      </c>
      <c r="D49" s="8" t="s">
        <v>211</v>
      </c>
      <c r="E49" s="8" t="s">
        <v>231</v>
      </c>
      <c r="F49" s="8"/>
      <c r="G49" s="8" t="s">
        <v>35</v>
      </c>
      <c r="H49" s="8" t="s">
        <v>23</v>
      </c>
      <c r="I49" s="8">
        <v>5</v>
      </c>
      <c r="J49" s="8">
        <v>4</v>
      </c>
      <c r="K49" s="8">
        <v>1</v>
      </c>
      <c r="L49" s="8">
        <v>2</v>
      </c>
      <c r="M49" s="8"/>
      <c r="N49" s="8"/>
      <c r="O49" s="8"/>
      <c r="P49" s="8"/>
      <c r="Q49" s="8"/>
      <c r="R49" s="8" t="s">
        <v>9</v>
      </c>
      <c r="S49" s="8" t="s">
        <v>9</v>
      </c>
    </row>
    <row r="50" spans="2:19">
      <c r="B50" s="8"/>
      <c r="C50" s="95">
        <v>250832</v>
      </c>
      <c r="D50" s="8" t="s">
        <v>211</v>
      </c>
      <c r="E50" s="8" t="s">
        <v>229</v>
      </c>
      <c r="F50" s="8"/>
      <c r="G50" s="8" t="s">
        <v>35</v>
      </c>
      <c r="H50" s="8" t="s">
        <v>23</v>
      </c>
      <c r="I50" s="8">
        <v>7</v>
      </c>
      <c r="J50" s="8">
        <v>10.58</v>
      </c>
      <c r="K50" s="8">
        <v>0</v>
      </c>
      <c r="L50" s="8">
        <v>2</v>
      </c>
      <c r="M50" s="8"/>
      <c r="N50" s="8"/>
      <c r="O50" s="8"/>
      <c r="P50" s="8"/>
      <c r="Q50" s="8"/>
      <c r="R50" s="8" t="s">
        <v>226</v>
      </c>
      <c r="S50" s="8" t="s">
        <v>9</v>
      </c>
    </row>
    <row r="51" spans="2:19">
      <c r="B51" s="8"/>
      <c r="C51" s="95">
        <v>250832</v>
      </c>
      <c r="D51" s="8" t="s">
        <v>211</v>
      </c>
      <c r="E51" s="8" t="s">
        <v>336</v>
      </c>
      <c r="F51" s="8"/>
      <c r="G51" s="8" t="s">
        <v>35</v>
      </c>
      <c r="H51" s="8" t="s">
        <v>23</v>
      </c>
      <c r="I51" s="8">
        <v>2</v>
      </c>
      <c r="J51" s="8">
        <v>2</v>
      </c>
      <c r="K51" s="8">
        <v>0</v>
      </c>
      <c r="L51" s="8">
        <v>2</v>
      </c>
      <c r="M51" s="8"/>
      <c r="N51" s="8"/>
      <c r="O51" s="8"/>
      <c r="P51" s="8"/>
      <c r="Q51" s="8"/>
      <c r="R51" s="8" t="s">
        <v>226</v>
      </c>
      <c r="S51" s="8" t="s">
        <v>9</v>
      </c>
    </row>
    <row r="52" spans="2:19">
      <c r="B52" s="8"/>
      <c r="C52" s="95">
        <v>250832</v>
      </c>
      <c r="D52" s="8" t="s">
        <v>211</v>
      </c>
      <c r="E52" s="8" t="s">
        <v>337</v>
      </c>
      <c r="F52" s="8"/>
      <c r="G52" s="8" t="s">
        <v>35</v>
      </c>
      <c r="H52" s="8" t="s">
        <v>23</v>
      </c>
      <c r="I52" s="8">
        <v>3</v>
      </c>
      <c r="J52" s="8">
        <v>5</v>
      </c>
      <c r="K52" s="8">
        <v>0</v>
      </c>
      <c r="L52" s="8">
        <v>2</v>
      </c>
      <c r="M52" s="8"/>
      <c r="N52" s="8"/>
      <c r="O52" s="8"/>
      <c r="P52" s="8"/>
      <c r="Q52" s="8"/>
      <c r="R52" s="8" t="s">
        <v>9</v>
      </c>
      <c r="S52" s="8" t="s">
        <v>9</v>
      </c>
    </row>
    <row r="53" spans="2:19">
      <c r="B53" s="8"/>
      <c r="C53" s="95">
        <v>250832</v>
      </c>
      <c r="D53" s="8" t="s">
        <v>211</v>
      </c>
      <c r="E53" s="8" t="s">
        <v>338</v>
      </c>
      <c r="F53" s="8"/>
      <c r="G53" s="8" t="s">
        <v>35</v>
      </c>
      <c r="H53" s="8" t="s">
        <v>23</v>
      </c>
      <c r="I53" s="8">
        <v>2</v>
      </c>
      <c r="J53" s="8">
        <v>3.27</v>
      </c>
      <c r="K53" s="8">
        <v>0</v>
      </c>
      <c r="L53" s="8">
        <v>2</v>
      </c>
      <c r="M53" s="8"/>
      <c r="N53" s="8"/>
      <c r="O53" s="8"/>
      <c r="P53" s="8"/>
      <c r="Q53" s="8"/>
      <c r="R53" s="8" t="s">
        <v>9</v>
      </c>
      <c r="S53" s="8" t="s">
        <v>9</v>
      </c>
    </row>
    <row r="54" spans="2:19">
      <c r="B54" s="8"/>
      <c r="C54" s="95">
        <v>250832</v>
      </c>
      <c r="D54" s="8" t="s">
        <v>211</v>
      </c>
      <c r="E54" s="8" t="s">
        <v>339</v>
      </c>
      <c r="F54" s="8"/>
      <c r="G54" s="8" t="s">
        <v>35</v>
      </c>
      <c r="H54" s="8" t="s">
        <v>23</v>
      </c>
      <c r="I54" s="8">
        <v>3</v>
      </c>
      <c r="J54" s="8">
        <v>4.25</v>
      </c>
      <c r="K54" s="8">
        <v>0</v>
      </c>
      <c r="L54" s="8">
        <v>2</v>
      </c>
      <c r="M54" s="8"/>
      <c r="N54" s="8"/>
      <c r="O54" s="8"/>
      <c r="P54" s="8"/>
      <c r="Q54" s="8"/>
      <c r="R54" s="8" t="s">
        <v>226</v>
      </c>
      <c r="S54" s="8" t="s">
        <v>9</v>
      </c>
    </row>
    <row r="55" spans="2:19">
      <c r="B55" s="8"/>
      <c r="C55" s="95">
        <v>242628</v>
      </c>
      <c r="D55" s="8" t="s">
        <v>232</v>
      </c>
      <c r="E55" s="8" t="s">
        <v>234</v>
      </c>
      <c r="F55" s="8"/>
      <c r="G55" s="8" t="s">
        <v>233</v>
      </c>
      <c r="H55" s="8" t="s">
        <v>14</v>
      </c>
      <c r="I55" s="8">
        <v>0</v>
      </c>
      <c r="J55" s="8">
        <v>0.5</v>
      </c>
      <c r="K55" s="8">
        <v>0</v>
      </c>
      <c r="L55" s="8">
        <v>3</v>
      </c>
      <c r="M55" s="8" t="s">
        <v>236</v>
      </c>
      <c r="N55" s="8"/>
      <c r="O55" s="8"/>
      <c r="P55" s="8"/>
      <c r="Q55" s="8"/>
      <c r="R55" s="8"/>
      <c r="S55" s="8" t="s">
        <v>13</v>
      </c>
    </row>
    <row r="56" spans="2:19">
      <c r="B56" s="8"/>
      <c r="C56" s="95">
        <v>242628</v>
      </c>
      <c r="D56" s="8" t="s">
        <v>232</v>
      </c>
      <c r="E56" s="8" t="s">
        <v>237</v>
      </c>
      <c r="F56" s="8"/>
      <c r="G56" s="8" t="s">
        <v>233</v>
      </c>
      <c r="H56" s="8" t="s">
        <v>14</v>
      </c>
      <c r="I56" s="8">
        <v>0</v>
      </c>
      <c r="J56" s="8">
        <v>0</v>
      </c>
      <c r="K56" s="8">
        <v>0</v>
      </c>
      <c r="L56" s="8">
        <v>3</v>
      </c>
      <c r="M56" s="8" t="s">
        <v>236</v>
      </c>
      <c r="N56" s="8"/>
      <c r="O56" s="8"/>
      <c r="P56" s="8"/>
      <c r="Q56" s="8"/>
      <c r="R56" s="8"/>
      <c r="S56" s="8" t="s">
        <v>13</v>
      </c>
    </row>
    <row r="57" spans="2:19">
      <c r="B57" s="8"/>
      <c r="C57" s="95">
        <v>242628</v>
      </c>
      <c r="D57" s="8" t="s">
        <v>232</v>
      </c>
      <c r="E57" s="8" t="s">
        <v>238</v>
      </c>
      <c r="F57" s="8"/>
      <c r="G57" s="8" t="s">
        <v>233</v>
      </c>
      <c r="H57" s="8" t="s">
        <v>14</v>
      </c>
      <c r="I57" s="8">
        <v>0</v>
      </c>
      <c r="J57" s="8">
        <v>0</v>
      </c>
      <c r="K57" s="8">
        <v>0</v>
      </c>
      <c r="L57" s="8">
        <v>3</v>
      </c>
      <c r="M57" s="8" t="s">
        <v>236</v>
      </c>
      <c r="N57" s="8"/>
      <c r="O57" s="8"/>
      <c r="P57" s="8"/>
      <c r="Q57" s="8"/>
      <c r="R57" s="8"/>
      <c r="S57" s="8" t="s">
        <v>13</v>
      </c>
    </row>
    <row r="58" spans="2:19">
      <c r="B58" s="8"/>
      <c r="C58" s="95">
        <v>242628</v>
      </c>
      <c r="D58" s="8" t="s">
        <v>232</v>
      </c>
      <c r="E58" s="8" t="s">
        <v>239</v>
      </c>
      <c r="F58" s="8"/>
      <c r="G58" s="8" t="s">
        <v>233</v>
      </c>
      <c r="H58" s="8" t="s">
        <v>14</v>
      </c>
      <c r="I58" s="8">
        <v>0</v>
      </c>
      <c r="J58" s="8">
        <v>0</v>
      </c>
      <c r="K58" s="8">
        <v>0</v>
      </c>
      <c r="L58" s="8">
        <v>3</v>
      </c>
      <c r="M58" s="8" t="s">
        <v>240</v>
      </c>
      <c r="N58" s="8"/>
      <c r="O58" s="8"/>
      <c r="P58" s="8"/>
      <c r="Q58" s="8"/>
      <c r="R58" s="8"/>
      <c r="S58" s="8" t="s">
        <v>13</v>
      </c>
    </row>
    <row r="59" spans="2:19">
      <c r="B59" s="8"/>
      <c r="C59" s="95">
        <v>242628</v>
      </c>
      <c r="D59" s="8" t="s">
        <v>211</v>
      </c>
      <c r="E59" s="8" t="s">
        <v>241</v>
      </c>
      <c r="F59" s="8"/>
      <c r="G59" s="8" t="s">
        <v>81</v>
      </c>
      <c r="H59" s="8" t="s">
        <v>12</v>
      </c>
      <c r="I59" s="8">
        <v>4</v>
      </c>
      <c r="J59" s="8">
        <v>4</v>
      </c>
      <c r="K59" s="8">
        <v>0</v>
      </c>
      <c r="L59" s="8">
        <v>2</v>
      </c>
      <c r="M59" s="8"/>
      <c r="N59" s="8"/>
      <c r="O59" s="8"/>
      <c r="P59" s="8"/>
      <c r="Q59" s="8" t="s">
        <v>340</v>
      </c>
      <c r="R59" s="8" t="s">
        <v>8</v>
      </c>
      <c r="S59" s="8" t="s">
        <v>13</v>
      </c>
    </row>
    <row r="60" spans="2:19">
      <c r="B60" s="8"/>
      <c r="C60" s="95">
        <v>242628</v>
      </c>
      <c r="D60" s="8" t="s">
        <v>211</v>
      </c>
      <c r="E60" s="8" t="s">
        <v>242</v>
      </c>
      <c r="F60" s="8"/>
      <c r="G60" s="8" t="s">
        <v>81</v>
      </c>
      <c r="H60" s="8" t="s">
        <v>10</v>
      </c>
      <c r="I60" s="8">
        <v>4</v>
      </c>
      <c r="J60" s="8">
        <v>4</v>
      </c>
      <c r="K60" s="8">
        <v>0</v>
      </c>
      <c r="L60" s="8">
        <v>2</v>
      </c>
      <c r="M60" s="8"/>
      <c r="N60" s="8"/>
      <c r="O60" s="8"/>
      <c r="P60" s="8"/>
      <c r="Q60" s="8" t="s">
        <v>83</v>
      </c>
      <c r="R60" s="8" t="s">
        <v>8</v>
      </c>
      <c r="S60" s="8" t="s">
        <v>13</v>
      </c>
    </row>
    <row r="61" spans="2:19">
      <c r="B61" s="8"/>
      <c r="C61" s="95">
        <v>242628</v>
      </c>
      <c r="D61" s="8" t="s">
        <v>211</v>
      </c>
      <c r="E61" s="8" t="s">
        <v>341</v>
      </c>
      <c r="F61" s="8"/>
      <c r="G61" s="8" t="s">
        <v>81</v>
      </c>
      <c r="H61" s="8" t="s">
        <v>14</v>
      </c>
      <c r="I61" s="8">
        <v>14</v>
      </c>
      <c r="J61" s="8">
        <v>15</v>
      </c>
      <c r="K61" s="8">
        <v>0</v>
      </c>
      <c r="L61" s="8">
        <v>2</v>
      </c>
      <c r="M61" s="8"/>
      <c r="N61" s="8"/>
      <c r="O61" s="8"/>
      <c r="P61" s="8"/>
      <c r="Q61" s="8"/>
      <c r="R61" s="8" t="s">
        <v>277</v>
      </c>
      <c r="S61" s="8" t="s">
        <v>15</v>
      </c>
    </row>
    <row r="62" spans="2:19">
      <c r="B62" s="8"/>
      <c r="C62" s="95">
        <v>247747</v>
      </c>
      <c r="D62" s="8" t="s">
        <v>211</v>
      </c>
      <c r="E62" s="8" t="s">
        <v>243</v>
      </c>
      <c r="F62" s="8"/>
      <c r="G62" s="8" t="s">
        <v>81</v>
      </c>
      <c r="H62" s="8" t="s">
        <v>23</v>
      </c>
      <c r="I62" s="8">
        <v>2</v>
      </c>
      <c r="J62" s="8">
        <v>1.5</v>
      </c>
      <c r="K62" s="8">
        <v>0</v>
      </c>
      <c r="L62" s="8">
        <v>2</v>
      </c>
      <c r="M62" s="8"/>
      <c r="N62" s="8"/>
      <c r="O62" s="8"/>
      <c r="P62" s="8"/>
      <c r="Q62" s="8" t="s">
        <v>83</v>
      </c>
      <c r="R62" s="8" t="s">
        <v>9</v>
      </c>
      <c r="S62" s="8" t="s">
        <v>9</v>
      </c>
    </row>
    <row r="63" spans="2:19">
      <c r="B63" s="8"/>
      <c r="C63" s="95">
        <v>247747</v>
      </c>
      <c r="D63" s="8" t="s">
        <v>232</v>
      </c>
      <c r="E63" s="8" t="s">
        <v>342</v>
      </c>
      <c r="F63" s="8"/>
      <c r="G63" s="8" t="s">
        <v>77</v>
      </c>
      <c r="H63" s="8" t="s">
        <v>21</v>
      </c>
      <c r="I63" s="8">
        <v>0</v>
      </c>
      <c r="J63" s="8">
        <v>0</v>
      </c>
      <c r="K63" s="8">
        <v>0.5</v>
      </c>
      <c r="L63" s="8">
        <v>2</v>
      </c>
      <c r="M63" s="8" t="s">
        <v>236</v>
      </c>
      <c r="N63" s="8"/>
      <c r="O63" s="8"/>
      <c r="P63" s="8"/>
      <c r="Q63" s="8"/>
      <c r="R63" s="8"/>
      <c r="S63" s="8" t="s">
        <v>13</v>
      </c>
    </row>
    <row r="64" spans="2:19">
      <c r="B64" s="8"/>
      <c r="C64" s="95">
        <v>247748</v>
      </c>
      <c r="D64" s="8" t="s">
        <v>211</v>
      </c>
      <c r="E64" s="8" t="s">
        <v>341</v>
      </c>
      <c r="F64" s="8"/>
      <c r="G64" s="8" t="s">
        <v>81</v>
      </c>
      <c r="H64" s="8" t="s">
        <v>14</v>
      </c>
      <c r="I64" s="8">
        <v>14</v>
      </c>
      <c r="J64" s="8">
        <v>15</v>
      </c>
      <c r="K64" s="8">
        <v>0</v>
      </c>
      <c r="L64" s="8">
        <v>2</v>
      </c>
      <c r="M64" s="8"/>
      <c r="N64" s="8"/>
      <c r="O64" s="8"/>
      <c r="P64" s="8"/>
      <c r="Q64" s="8"/>
      <c r="R64" s="8" t="s">
        <v>277</v>
      </c>
      <c r="S64" s="8" t="s">
        <v>15</v>
      </c>
    </row>
    <row r="65" spans="2:19">
      <c r="B65" s="8"/>
      <c r="C65" s="95">
        <v>247748</v>
      </c>
      <c r="D65" s="8" t="s">
        <v>232</v>
      </c>
      <c r="E65" s="8" t="s">
        <v>343</v>
      </c>
      <c r="F65" s="8"/>
      <c r="G65" s="8" t="s">
        <v>235</v>
      </c>
      <c r="H65" s="8" t="s">
        <v>14</v>
      </c>
      <c r="I65" s="8">
        <v>0</v>
      </c>
      <c r="J65" s="8">
        <v>2</v>
      </c>
      <c r="K65" s="8">
        <v>0</v>
      </c>
      <c r="L65" s="8">
        <v>2</v>
      </c>
      <c r="M65" s="8" t="s">
        <v>236</v>
      </c>
      <c r="N65" s="8"/>
      <c r="O65" s="8"/>
      <c r="P65" s="8"/>
      <c r="Q65" s="8"/>
      <c r="R65" s="8"/>
      <c r="S65" s="8" t="s">
        <v>8</v>
      </c>
    </row>
    <row r="66" spans="2:19">
      <c r="B66" s="8"/>
      <c r="C66" s="95">
        <v>244767</v>
      </c>
      <c r="D66" s="8" t="s">
        <v>211</v>
      </c>
      <c r="E66" s="8" t="s">
        <v>244</v>
      </c>
      <c r="F66" s="8"/>
      <c r="G66" s="8" t="s">
        <v>81</v>
      </c>
      <c r="H66" s="8" t="s">
        <v>10</v>
      </c>
      <c r="I66" s="8">
        <v>4</v>
      </c>
      <c r="J66" s="8">
        <v>4</v>
      </c>
      <c r="K66" s="8">
        <v>0</v>
      </c>
      <c r="L66" s="8">
        <v>2</v>
      </c>
      <c r="M66" s="8"/>
      <c r="N66" s="8"/>
      <c r="O66" s="8"/>
      <c r="P66" s="8"/>
      <c r="Q66" s="8"/>
      <c r="R66" s="8" t="s">
        <v>8</v>
      </c>
      <c r="S66" s="8" t="s">
        <v>13</v>
      </c>
    </row>
    <row r="67" spans="2:19">
      <c r="B67" s="8"/>
      <c r="C67" s="95">
        <v>244767</v>
      </c>
      <c r="D67" s="8" t="s">
        <v>211</v>
      </c>
      <c r="E67" s="8" t="s">
        <v>245</v>
      </c>
      <c r="F67" s="8"/>
      <c r="G67" s="8" t="s">
        <v>81</v>
      </c>
      <c r="H67" s="8" t="s">
        <v>10</v>
      </c>
      <c r="I67" s="8">
        <v>5</v>
      </c>
      <c r="J67" s="8">
        <v>5</v>
      </c>
      <c r="K67" s="8">
        <v>0</v>
      </c>
      <c r="L67" s="8">
        <v>2</v>
      </c>
      <c r="M67" s="8"/>
      <c r="N67" s="8"/>
      <c r="O67" s="8"/>
      <c r="P67" s="8"/>
      <c r="Q67" s="8"/>
      <c r="R67" s="8" t="s">
        <v>8</v>
      </c>
      <c r="S67" s="8" t="s">
        <v>13</v>
      </c>
    </row>
    <row r="68" spans="2:19">
      <c r="B68" s="8"/>
      <c r="C68" s="95">
        <v>244767</v>
      </c>
      <c r="D68" s="8" t="s">
        <v>211</v>
      </c>
      <c r="E68" s="8" t="s">
        <v>344</v>
      </c>
      <c r="F68" s="8"/>
      <c r="G68" s="8" t="s">
        <v>81</v>
      </c>
      <c r="H68" s="8" t="s">
        <v>10</v>
      </c>
      <c r="I68" s="8">
        <v>2</v>
      </c>
      <c r="J68" s="8">
        <v>3</v>
      </c>
      <c r="K68" s="8">
        <v>0</v>
      </c>
      <c r="L68" s="8">
        <v>2</v>
      </c>
      <c r="M68" s="8"/>
      <c r="N68" s="8"/>
      <c r="O68" s="8"/>
      <c r="P68" s="8"/>
      <c r="Q68" s="8"/>
      <c r="R68" s="8" t="s">
        <v>8</v>
      </c>
      <c r="S68" s="8" t="s">
        <v>13</v>
      </c>
    </row>
    <row r="69" spans="2:19">
      <c r="B69" s="8"/>
      <c r="C69" s="95">
        <v>244767</v>
      </c>
      <c r="D69" s="8" t="s">
        <v>211</v>
      </c>
      <c r="E69" s="8" t="s">
        <v>345</v>
      </c>
      <c r="F69" s="8"/>
      <c r="G69" s="8" t="s">
        <v>81</v>
      </c>
      <c r="H69" s="8" t="s">
        <v>10</v>
      </c>
      <c r="I69" s="8">
        <v>3</v>
      </c>
      <c r="J69" s="8">
        <v>3</v>
      </c>
      <c r="K69" s="8">
        <v>0</v>
      </c>
      <c r="L69" s="8">
        <v>2</v>
      </c>
      <c r="M69" s="8"/>
      <c r="N69" s="8"/>
      <c r="O69" s="8"/>
      <c r="P69" s="8"/>
      <c r="Q69" s="8"/>
      <c r="R69" s="8" t="s">
        <v>8</v>
      </c>
      <c r="S69" s="8" t="s">
        <v>13</v>
      </c>
    </row>
    <row r="70" spans="2:19">
      <c r="B70" s="8"/>
      <c r="C70" s="95">
        <v>244767</v>
      </c>
      <c r="D70" s="8" t="s">
        <v>211</v>
      </c>
      <c r="E70" s="8" t="s">
        <v>346</v>
      </c>
      <c r="F70" s="8"/>
      <c r="G70" s="8" t="s">
        <v>35</v>
      </c>
      <c r="H70" s="8" t="s">
        <v>10</v>
      </c>
      <c r="I70" s="8">
        <v>4</v>
      </c>
      <c r="J70" s="8">
        <v>3</v>
      </c>
      <c r="K70" s="8">
        <v>1</v>
      </c>
      <c r="L70" s="8">
        <v>2</v>
      </c>
      <c r="M70" s="8"/>
      <c r="N70" s="8"/>
      <c r="O70" s="8"/>
      <c r="P70" s="8"/>
      <c r="Q70" s="8"/>
      <c r="R70" s="8" t="s">
        <v>8</v>
      </c>
      <c r="S70" s="8" t="s">
        <v>13</v>
      </c>
    </row>
    <row r="71" spans="2:19">
      <c r="B71" s="8"/>
      <c r="C71" s="95">
        <v>244767</v>
      </c>
      <c r="D71" s="8" t="s">
        <v>211</v>
      </c>
      <c r="E71" s="8" t="s">
        <v>347</v>
      </c>
      <c r="F71" s="8"/>
      <c r="G71" s="8" t="s">
        <v>81</v>
      </c>
      <c r="H71" s="8" t="s">
        <v>10</v>
      </c>
      <c r="I71" s="8">
        <v>2</v>
      </c>
      <c r="J71" s="8">
        <v>5</v>
      </c>
      <c r="K71" s="8">
        <v>0</v>
      </c>
      <c r="L71" s="8">
        <v>2</v>
      </c>
      <c r="M71" s="8"/>
      <c r="N71" s="8"/>
      <c r="O71" s="8"/>
      <c r="P71" s="8"/>
      <c r="Q71" s="8"/>
      <c r="R71" s="8" t="s">
        <v>8</v>
      </c>
      <c r="S71" s="8" t="s">
        <v>13</v>
      </c>
    </row>
    <row r="72" spans="2:19">
      <c r="B72" s="8"/>
      <c r="C72" s="95">
        <v>244767</v>
      </c>
      <c r="D72" s="8" t="s">
        <v>211</v>
      </c>
      <c r="E72" s="8" t="s">
        <v>348</v>
      </c>
      <c r="F72" s="8"/>
      <c r="G72" s="8" t="s">
        <v>81</v>
      </c>
      <c r="H72" s="8" t="s">
        <v>10</v>
      </c>
      <c r="I72" s="8">
        <v>4</v>
      </c>
      <c r="J72" s="8">
        <v>4</v>
      </c>
      <c r="K72" s="8">
        <v>0</v>
      </c>
      <c r="L72" s="8">
        <v>2</v>
      </c>
      <c r="M72" s="8"/>
      <c r="N72" s="8"/>
      <c r="O72" s="8"/>
      <c r="P72" s="8"/>
      <c r="Q72" s="8" t="s">
        <v>83</v>
      </c>
      <c r="R72" s="8" t="s">
        <v>8</v>
      </c>
      <c r="S72" s="8" t="s">
        <v>13</v>
      </c>
    </row>
    <row r="73" spans="2:19">
      <c r="B73" s="8"/>
      <c r="C73" s="95">
        <v>244767</v>
      </c>
      <c r="D73" s="8" t="s">
        <v>211</v>
      </c>
      <c r="E73" s="8" t="s">
        <v>349</v>
      </c>
      <c r="F73" s="8"/>
      <c r="G73" s="8" t="s">
        <v>81</v>
      </c>
      <c r="H73" s="8" t="s">
        <v>10</v>
      </c>
      <c r="I73" s="8">
        <v>0</v>
      </c>
      <c r="J73" s="8">
        <v>20.5</v>
      </c>
      <c r="K73" s="8">
        <v>0</v>
      </c>
      <c r="L73" s="8">
        <v>2</v>
      </c>
      <c r="M73" s="8"/>
      <c r="N73" s="8"/>
      <c r="O73" s="8"/>
      <c r="P73" s="8"/>
      <c r="Q73" s="8"/>
      <c r="R73" s="8" t="s">
        <v>8</v>
      </c>
      <c r="S73" s="8" t="s">
        <v>13</v>
      </c>
    </row>
    <row r="74" spans="2:19">
      <c r="B74" s="8"/>
      <c r="C74" s="95">
        <v>244764</v>
      </c>
      <c r="D74" s="8" t="s">
        <v>232</v>
      </c>
      <c r="E74" s="8" t="s">
        <v>350</v>
      </c>
      <c r="F74" s="8"/>
      <c r="G74" s="8" t="s">
        <v>257</v>
      </c>
      <c r="H74" s="8" t="s">
        <v>10</v>
      </c>
      <c r="I74" s="8">
        <v>0</v>
      </c>
      <c r="J74" s="8">
        <v>0</v>
      </c>
      <c r="K74" s="8">
        <v>0</v>
      </c>
      <c r="L74" s="8">
        <v>3</v>
      </c>
      <c r="M74" s="8" t="s">
        <v>236</v>
      </c>
      <c r="N74" s="8"/>
      <c r="O74" s="8"/>
      <c r="P74" s="8"/>
      <c r="Q74" s="8"/>
      <c r="R74" s="8"/>
      <c r="S74" s="8" t="s">
        <v>13</v>
      </c>
    </row>
    <row r="75" spans="2:19">
      <c r="B75" s="8"/>
      <c r="C75" s="95">
        <v>244764</v>
      </c>
      <c r="D75" s="8" t="s">
        <v>211</v>
      </c>
      <c r="E75" s="8" t="s">
        <v>351</v>
      </c>
      <c r="F75" s="8"/>
      <c r="G75" s="8" t="s">
        <v>81</v>
      </c>
      <c r="H75" s="8" t="s">
        <v>10</v>
      </c>
      <c r="I75" s="8">
        <v>0.5</v>
      </c>
      <c r="J75" s="8">
        <v>0.5</v>
      </c>
      <c r="K75" s="8">
        <v>0</v>
      </c>
      <c r="L75" s="8">
        <v>2</v>
      </c>
      <c r="M75" s="8"/>
      <c r="N75" s="8"/>
      <c r="O75" s="8"/>
      <c r="P75" s="8"/>
      <c r="Q75" s="8"/>
      <c r="R75" s="8" t="s">
        <v>8</v>
      </c>
      <c r="S75" s="8" t="s">
        <v>13</v>
      </c>
    </row>
    <row r="76" spans="2:19">
      <c r="B76" s="8"/>
      <c r="C76" s="95">
        <v>244770</v>
      </c>
      <c r="D76" s="8" t="s">
        <v>232</v>
      </c>
      <c r="E76" s="8" t="s">
        <v>246</v>
      </c>
      <c r="F76" s="8"/>
      <c r="G76" s="8" t="s">
        <v>233</v>
      </c>
      <c r="H76" s="8" t="s">
        <v>14</v>
      </c>
      <c r="I76" s="8">
        <v>0</v>
      </c>
      <c r="J76" s="8">
        <v>2</v>
      </c>
      <c r="K76" s="8">
        <v>0</v>
      </c>
      <c r="L76" s="8">
        <v>3</v>
      </c>
      <c r="M76" s="8" t="s">
        <v>236</v>
      </c>
      <c r="N76" s="8"/>
      <c r="O76" s="8"/>
      <c r="P76" s="8"/>
      <c r="Q76" s="8"/>
      <c r="R76" s="8"/>
      <c r="S76" s="8" t="s">
        <v>8</v>
      </c>
    </row>
    <row r="77" spans="2:19">
      <c r="B77" s="8"/>
      <c r="C77" s="95">
        <v>244770</v>
      </c>
      <c r="D77" s="8" t="s">
        <v>211</v>
      </c>
      <c r="E77" s="8" t="s">
        <v>352</v>
      </c>
      <c r="F77" s="8"/>
      <c r="G77" s="8" t="s">
        <v>81</v>
      </c>
      <c r="H77" s="8" t="s">
        <v>20</v>
      </c>
      <c r="I77" s="8">
        <v>2</v>
      </c>
      <c r="J77" s="8">
        <v>2</v>
      </c>
      <c r="K77" s="8">
        <v>0</v>
      </c>
      <c r="L77" s="8">
        <v>2</v>
      </c>
      <c r="M77" s="8"/>
      <c r="N77" s="8"/>
      <c r="O77" s="8"/>
      <c r="P77" s="8"/>
      <c r="Q77" s="8" t="s">
        <v>93</v>
      </c>
      <c r="R77" s="8" t="s">
        <v>8</v>
      </c>
      <c r="S77" s="8" t="s">
        <v>8</v>
      </c>
    </row>
    <row r="78" spans="2:19">
      <c r="B78" s="8"/>
      <c r="C78" s="95">
        <v>242629</v>
      </c>
      <c r="D78" s="8" t="s">
        <v>211</v>
      </c>
      <c r="E78" s="8" t="s">
        <v>248</v>
      </c>
      <c r="F78" s="8"/>
      <c r="G78" s="8" t="s">
        <v>35</v>
      </c>
      <c r="H78" s="8" t="s">
        <v>23</v>
      </c>
      <c r="I78" s="8">
        <v>2</v>
      </c>
      <c r="J78" s="8">
        <v>2</v>
      </c>
      <c r="K78" s="8">
        <v>0</v>
      </c>
      <c r="L78" s="8">
        <v>2</v>
      </c>
      <c r="M78" s="8"/>
      <c r="N78" s="8"/>
      <c r="O78" s="8"/>
      <c r="P78" s="8"/>
      <c r="Q78" s="8"/>
      <c r="R78" s="8" t="s">
        <v>9</v>
      </c>
      <c r="S78" s="8" t="s">
        <v>9</v>
      </c>
    </row>
    <row r="79" spans="2:19">
      <c r="B79" s="8"/>
      <c r="C79" s="95">
        <v>242629</v>
      </c>
      <c r="D79" s="8" t="s">
        <v>211</v>
      </c>
      <c r="E79" s="8" t="s">
        <v>249</v>
      </c>
      <c r="F79" s="8"/>
      <c r="G79" s="8" t="s">
        <v>35</v>
      </c>
      <c r="H79" s="8" t="s">
        <v>23</v>
      </c>
      <c r="I79" s="8">
        <v>2</v>
      </c>
      <c r="J79" s="8">
        <v>2</v>
      </c>
      <c r="K79" s="8">
        <v>0</v>
      </c>
      <c r="L79" s="8">
        <v>2</v>
      </c>
      <c r="M79" s="8"/>
      <c r="N79" s="8"/>
      <c r="O79" s="8"/>
      <c r="P79" s="8"/>
      <c r="Q79" s="8"/>
      <c r="R79" s="8" t="s">
        <v>9</v>
      </c>
      <c r="S79" s="8" t="s">
        <v>9</v>
      </c>
    </row>
    <row r="80" spans="2:19">
      <c r="B80" s="8"/>
      <c r="C80" s="95">
        <v>242629</v>
      </c>
      <c r="D80" s="8" t="s">
        <v>211</v>
      </c>
      <c r="E80" s="8" t="s">
        <v>250</v>
      </c>
      <c r="F80" s="8"/>
      <c r="G80" s="8" t="s">
        <v>35</v>
      </c>
      <c r="H80" s="8" t="s">
        <v>23</v>
      </c>
      <c r="I80" s="8">
        <v>2</v>
      </c>
      <c r="J80" s="8">
        <v>0.25</v>
      </c>
      <c r="K80" s="8">
        <v>1.75</v>
      </c>
      <c r="L80" s="8">
        <v>2</v>
      </c>
      <c r="M80" s="8"/>
      <c r="N80" s="8"/>
      <c r="O80" s="8"/>
      <c r="P80" s="8"/>
      <c r="Q80" s="8"/>
      <c r="R80" s="8" t="s">
        <v>9</v>
      </c>
      <c r="S80" s="8" t="s">
        <v>9</v>
      </c>
    </row>
    <row r="81" spans="2:19">
      <c r="B81" s="8"/>
      <c r="C81" s="95">
        <v>242629</v>
      </c>
      <c r="D81" s="8" t="s">
        <v>211</v>
      </c>
      <c r="E81" s="8" t="s">
        <v>251</v>
      </c>
      <c r="F81" s="8"/>
      <c r="G81" s="8" t="s">
        <v>81</v>
      </c>
      <c r="H81" s="8" t="s">
        <v>23</v>
      </c>
      <c r="I81" s="8">
        <v>2</v>
      </c>
      <c r="J81" s="8">
        <v>1</v>
      </c>
      <c r="K81" s="8">
        <v>0</v>
      </c>
      <c r="L81" s="8">
        <v>2</v>
      </c>
      <c r="M81" s="8"/>
      <c r="N81" s="8"/>
      <c r="O81" s="8"/>
      <c r="P81" s="8"/>
      <c r="Q81" s="8"/>
      <c r="R81" s="8" t="s">
        <v>9</v>
      </c>
      <c r="S81" s="8" t="s">
        <v>9</v>
      </c>
    </row>
    <row r="82" spans="2:19">
      <c r="B82" s="8"/>
      <c r="C82" s="95">
        <v>244768</v>
      </c>
      <c r="D82" s="8" t="s">
        <v>211</v>
      </c>
      <c r="E82" s="8" t="s">
        <v>252</v>
      </c>
      <c r="F82" s="8"/>
      <c r="G82" s="8" t="s">
        <v>81</v>
      </c>
      <c r="H82" s="8" t="s">
        <v>23</v>
      </c>
      <c r="I82" s="8">
        <v>2</v>
      </c>
      <c r="J82" s="8">
        <v>1</v>
      </c>
      <c r="K82" s="8">
        <v>0</v>
      </c>
      <c r="L82" s="8">
        <v>2</v>
      </c>
      <c r="M82" s="8"/>
      <c r="N82" s="8"/>
      <c r="O82" s="8"/>
      <c r="P82" s="8"/>
      <c r="Q82" s="8"/>
      <c r="R82" s="8" t="s">
        <v>9</v>
      </c>
      <c r="S82" s="8" t="s">
        <v>9</v>
      </c>
    </row>
    <row r="83" spans="2:19">
      <c r="B83" s="8"/>
      <c r="C83" s="95">
        <v>244768</v>
      </c>
      <c r="D83" s="8" t="s">
        <v>211</v>
      </c>
      <c r="E83" s="8" t="s">
        <v>353</v>
      </c>
      <c r="F83" s="8"/>
      <c r="G83" s="8" t="s">
        <v>35</v>
      </c>
      <c r="H83" s="8" t="s">
        <v>10</v>
      </c>
      <c r="I83" s="8">
        <v>7</v>
      </c>
      <c r="J83" s="8">
        <v>6</v>
      </c>
      <c r="K83" s="8">
        <v>1</v>
      </c>
      <c r="L83" s="8">
        <v>2</v>
      </c>
      <c r="M83" s="8"/>
      <c r="N83" s="8"/>
      <c r="O83" s="8"/>
      <c r="P83" s="8"/>
      <c r="Q83" s="8"/>
      <c r="R83" s="8" t="s">
        <v>8</v>
      </c>
      <c r="S83" s="8" t="s">
        <v>13</v>
      </c>
    </row>
    <row r="84" spans="2:19">
      <c r="B84" s="8"/>
      <c r="C84" s="95">
        <v>244768</v>
      </c>
      <c r="D84" s="8" t="s">
        <v>211</v>
      </c>
      <c r="E84" s="8" t="s">
        <v>354</v>
      </c>
      <c r="F84" s="8"/>
      <c r="G84" s="8" t="s">
        <v>38</v>
      </c>
      <c r="H84" s="8" t="s">
        <v>10</v>
      </c>
      <c r="I84" s="8">
        <v>4</v>
      </c>
      <c r="J84" s="8">
        <v>5</v>
      </c>
      <c r="K84" s="8">
        <v>1</v>
      </c>
      <c r="L84" s="8">
        <v>2</v>
      </c>
      <c r="M84" s="8"/>
      <c r="N84" s="8"/>
      <c r="O84" s="8"/>
      <c r="P84" s="8"/>
      <c r="Q84" s="8"/>
      <c r="R84" s="8" t="s">
        <v>8</v>
      </c>
      <c r="S84" s="8" t="s">
        <v>13</v>
      </c>
    </row>
    <row r="85" spans="2:19">
      <c r="B85" s="8"/>
      <c r="C85" s="95">
        <v>244768</v>
      </c>
      <c r="D85" s="8" t="s">
        <v>211</v>
      </c>
      <c r="E85" s="8" t="s">
        <v>355</v>
      </c>
      <c r="F85" s="8"/>
      <c r="G85" s="8" t="s">
        <v>38</v>
      </c>
      <c r="H85" s="8" t="s">
        <v>10</v>
      </c>
      <c r="I85" s="8">
        <v>3</v>
      </c>
      <c r="J85" s="8">
        <v>0</v>
      </c>
      <c r="K85" s="8">
        <v>3</v>
      </c>
      <c r="L85" s="8">
        <v>2</v>
      </c>
      <c r="M85" s="8"/>
      <c r="N85" s="8"/>
      <c r="O85" s="8"/>
      <c r="P85" s="8"/>
      <c r="Q85" s="8"/>
      <c r="R85" s="8" t="s">
        <v>8</v>
      </c>
      <c r="S85" s="8" t="s">
        <v>13</v>
      </c>
    </row>
    <row r="86" spans="2:19">
      <c r="B86" s="8"/>
      <c r="C86" s="95">
        <v>244768</v>
      </c>
      <c r="D86" s="8" t="s">
        <v>211</v>
      </c>
      <c r="E86" s="8" t="s">
        <v>356</v>
      </c>
      <c r="F86" s="8"/>
      <c r="G86" s="8" t="s">
        <v>35</v>
      </c>
      <c r="H86" s="8" t="s">
        <v>10</v>
      </c>
      <c r="I86" s="8">
        <v>2</v>
      </c>
      <c r="J86" s="8">
        <v>1</v>
      </c>
      <c r="K86" s="8">
        <v>1</v>
      </c>
      <c r="L86" s="8">
        <v>2</v>
      </c>
      <c r="M86" s="8"/>
      <c r="N86" s="8"/>
      <c r="O86" s="8"/>
      <c r="P86" s="8"/>
      <c r="Q86" s="8"/>
      <c r="R86" s="8" t="s">
        <v>8</v>
      </c>
      <c r="S86" s="8" t="s">
        <v>13</v>
      </c>
    </row>
    <row r="87" spans="2:19">
      <c r="B87" s="8"/>
      <c r="C87" s="95">
        <v>244768</v>
      </c>
      <c r="D87" s="8" t="s">
        <v>211</v>
      </c>
      <c r="E87" s="8" t="s">
        <v>357</v>
      </c>
      <c r="F87" s="8"/>
      <c r="G87" s="8" t="s">
        <v>38</v>
      </c>
      <c r="H87" s="8" t="s">
        <v>10</v>
      </c>
      <c r="I87" s="8">
        <v>3</v>
      </c>
      <c r="J87" s="8">
        <v>2</v>
      </c>
      <c r="K87" s="8">
        <v>1</v>
      </c>
      <c r="L87" s="8">
        <v>2</v>
      </c>
      <c r="M87" s="8"/>
      <c r="N87" s="8"/>
      <c r="O87" s="8"/>
      <c r="P87" s="8"/>
      <c r="Q87" s="8"/>
      <c r="R87" s="8" t="s">
        <v>8</v>
      </c>
      <c r="S87" s="8" t="s">
        <v>13</v>
      </c>
    </row>
    <row r="88" spans="2:19">
      <c r="B88" s="8"/>
      <c r="C88" s="95">
        <v>244768</v>
      </c>
      <c r="D88" s="8" t="s">
        <v>211</v>
      </c>
      <c r="E88" s="8" t="s">
        <v>358</v>
      </c>
      <c r="F88" s="8"/>
      <c r="G88" s="8" t="s">
        <v>38</v>
      </c>
      <c r="H88" s="8" t="s">
        <v>10</v>
      </c>
      <c r="I88" s="8">
        <v>4</v>
      </c>
      <c r="J88" s="8">
        <v>3</v>
      </c>
      <c r="K88" s="8">
        <v>1</v>
      </c>
      <c r="L88" s="8">
        <v>2</v>
      </c>
      <c r="M88" s="8"/>
      <c r="N88" s="8"/>
      <c r="O88" s="8"/>
      <c r="P88" s="8"/>
      <c r="Q88" s="8"/>
      <c r="R88" s="8" t="s">
        <v>8</v>
      </c>
      <c r="S88" s="8" t="s">
        <v>13</v>
      </c>
    </row>
    <row r="89" spans="2:19">
      <c r="B89" s="8"/>
      <c r="C89" s="95">
        <v>244768</v>
      </c>
      <c r="D89" s="8" t="s">
        <v>211</v>
      </c>
      <c r="E89" s="8" t="s">
        <v>359</v>
      </c>
      <c r="F89" s="8"/>
      <c r="G89" s="8" t="s">
        <v>81</v>
      </c>
      <c r="H89" s="8" t="s">
        <v>10</v>
      </c>
      <c r="I89" s="8">
        <v>2</v>
      </c>
      <c r="J89" s="8">
        <v>2</v>
      </c>
      <c r="K89" s="8">
        <v>0</v>
      </c>
      <c r="L89" s="8">
        <v>2</v>
      </c>
      <c r="M89" s="8"/>
      <c r="N89" s="8"/>
      <c r="O89" s="8"/>
      <c r="P89" s="8"/>
      <c r="Q89" s="8"/>
      <c r="R89" s="8" t="s">
        <v>8</v>
      </c>
      <c r="S89" s="8" t="s">
        <v>13</v>
      </c>
    </row>
    <row r="90" spans="2:19">
      <c r="B90" s="8"/>
      <c r="C90" s="95">
        <v>244768</v>
      </c>
      <c r="D90" s="8" t="s">
        <v>211</v>
      </c>
      <c r="E90" s="8" t="s">
        <v>360</v>
      </c>
      <c r="F90" s="8"/>
      <c r="G90" s="8" t="s">
        <v>81</v>
      </c>
      <c r="H90" s="8" t="s">
        <v>10</v>
      </c>
      <c r="I90" s="8">
        <v>3</v>
      </c>
      <c r="J90" s="8">
        <v>3</v>
      </c>
      <c r="K90" s="8">
        <v>0</v>
      </c>
      <c r="L90" s="8">
        <v>2</v>
      </c>
      <c r="M90" s="8"/>
      <c r="N90" s="8"/>
      <c r="O90" s="8"/>
      <c r="P90" s="8"/>
      <c r="Q90" s="8" t="s">
        <v>83</v>
      </c>
      <c r="R90" s="8" t="s">
        <v>8</v>
      </c>
      <c r="S90" s="8" t="s">
        <v>13</v>
      </c>
    </row>
    <row r="91" spans="2:19">
      <c r="B91" s="8"/>
      <c r="C91" s="95">
        <v>244772</v>
      </c>
      <c r="D91" s="8" t="s">
        <v>211</v>
      </c>
      <c r="E91" s="8" t="s">
        <v>253</v>
      </c>
      <c r="F91" s="8"/>
      <c r="G91" s="8" t="s">
        <v>81</v>
      </c>
      <c r="H91" s="8" t="s">
        <v>21</v>
      </c>
      <c r="I91" s="8">
        <v>2</v>
      </c>
      <c r="J91" s="8">
        <v>2</v>
      </c>
      <c r="K91" s="8">
        <v>0</v>
      </c>
      <c r="L91" s="8">
        <v>2</v>
      </c>
      <c r="M91" s="8"/>
      <c r="N91" s="8"/>
      <c r="O91" s="8"/>
      <c r="P91" s="8"/>
      <c r="Q91" s="8"/>
      <c r="R91" s="8" t="s">
        <v>8</v>
      </c>
      <c r="S91" s="8" t="s">
        <v>13</v>
      </c>
    </row>
    <row r="92" spans="2:19">
      <c r="B92" s="8"/>
      <c r="C92" s="95">
        <v>244772</v>
      </c>
      <c r="D92" s="8" t="s">
        <v>211</v>
      </c>
      <c r="E92" s="8" t="s">
        <v>254</v>
      </c>
      <c r="F92" s="8"/>
      <c r="G92" s="8" t="s">
        <v>81</v>
      </c>
      <c r="H92" s="8" t="s">
        <v>21</v>
      </c>
      <c r="I92" s="8">
        <v>2</v>
      </c>
      <c r="J92" s="8">
        <v>2</v>
      </c>
      <c r="K92" s="8">
        <v>0</v>
      </c>
      <c r="L92" s="8">
        <v>2</v>
      </c>
      <c r="M92" s="8"/>
      <c r="N92" s="8"/>
      <c r="O92" s="8"/>
      <c r="P92" s="8"/>
      <c r="Q92" s="8"/>
      <c r="R92" s="8" t="s">
        <v>8</v>
      </c>
      <c r="S92" s="8" t="s">
        <v>13</v>
      </c>
    </row>
    <row r="93" spans="2:19">
      <c r="B93" s="8"/>
      <c r="C93" s="95">
        <v>244756</v>
      </c>
      <c r="D93" s="8" t="s">
        <v>211</v>
      </c>
      <c r="E93" s="8" t="s">
        <v>361</v>
      </c>
      <c r="F93" s="8"/>
      <c r="G93" s="8" t="s">
        <v>81</v>
      </c>
      <c r="H93" s="8" t="s">
        <v>21</v>
      </c>
      <c r="I93" s="8">
        <v>4</v>
      </c>
      <c r="J93" s="8">
        <v>4</v>
      </c>
      <c r="K93" s="8">
        <v>0</v>
      </c>
      <c r="L93" s="8">
        <v>2</v>
      </c>
      <c r="M93" s="8"/>
      <c r="N93" s="8"/>
      <c r="O93" s="8"/>
      <c r="P93" s="8"/>
      <c r="Q93" s="8"/>
      <c r="R93" s="8" t="s">
        <v>8</v>
      </c>
      <c r="S93" s="8" t="s">
        <v>13</v>
      </c>
    </row>
    <row r="94" spans="2:19">
      <c r="B94" s="8"/>
      <c r="C94" s="95">
        <v>244756</v>
      </c>
      <c r="D94" s="8" t="s">
        <v>211</v>
      </c>
      <c r="E94" s="8" t="s">
        <v>362</v>
      </c>
      <c r="F94" s="8"/>
      <c r="G94" s="8" t="s">
        <v>81</v>
      </c>
      <c r="H94" s="8" t="s">
        <v>21</v>
      </c>
      <c r="I94" s="8">
        <v>4</v>
      </c>
      <c r="J94" s="8">
        <v>4</v>
      </c>
      <c r="K94" s="8">
        <v>0</v>
      </c>
      <c r="L94" s="8">
        <v>2</v>
      </c>
      <c r="M94" s="8"/>
      <c r="N94" s="8"/>
      <c r="O94" s="8"/>
      <c r="P94" s="8"/>
      <c r="Q94" s="8"/>
      <c r="R94" s="8" t="s">
        <v>8</v>
      </c>
      <c r="S94" s="8" t="s">
        <v>13</v>
      </c>
    </row>
    <row r="95" spans="2:19">
      <c r="B95" s="8"/>
      <c r="C95" s="95">
        <v>244756</v>
      </c>
      <c r="D95" s="8" t="s">
        <v>211</v>
      </c>
      <c r="E95" s="8" t="s">
        <v>363</v>
      </c>
      <c r="F95" s="8"/>
      <c r="G95" s="8" t="s">
        <v>81</v>
      </c>
      <c r="H95" s="8" t="s">
        <v>21</v>
      </c>
      <c r="I95" s="8">
        <v>4</v>
      </c>
      <c r="J95" s="8">
        <v>4</v>
      </c>
      <c r="K95" s="8">
        <v>0</v>
      </c>
      <c r="L95" s="8">
        <v>2</v>
      </c>
      <c r="M95" s="8"/>
      <c r="N95" s="8"/>
      <c r="O95" s="8"/>
      <c r="P95" s="8"/>
      <c r="Q95" s="8"/>
      <c r="R95" s="8" t="s">
        <v>8</v>
      </c>
      <c r="S95" s="8" t="s">
        <v>13</v>
      </c>
    </row>
    <row r="96" spans="2:19">
      <c r="B96" s="8"/>
      <c r="C96" s="95">
        <v>244761</v>
      </c>
      <c r="D96" s="8" t="s">
        <v>211</v>
      </c>
      <c r="E96" s="8" t="s">
        <v>255</v>
      </c>
      <c r="F96" s="8"/>
      <c r="G96" s="8" t="s">
        <v>81</v>
      </c>
      <c r="H96" s="8" t="s">
        <v>21</v>
      </c>
      <c r="I96" s="8">
        <v>7</v>
      </c>
      <c r="J96" s="8">
        <v>7</v>
      </c>
      <c r="K96" s="8">
        <v>0</v>
      </c>
      <c r="L96" s="8">
        <v>2</v>
      </c>
      <c r="M96" s="8"/>
      <c r="N96" s="8"/>
      <c r="O96" s="8"/>
      <c r="P96" s="8"/>
      <c r="Q96" s="8" t="s">
        <v>41</v>
      </c>
      <c r="R96" s="8" t="s">
        <v>8</v>
      </c>
      <c r="S96" s="8" t="s">
        <v>13</v>
      </c>
    </row>
    <row r="97" spans="2:19">
      <c r="B97" s="8"/>
      <c r="C97" s="95">
        <v>244761</v>
      </c>
      <c r="D97" s="8" t="s">
        <v>211</v>
      </c>
      <c r="E97" s="8" t="s">
        <v>364</v>
      </c>
      <c r="F97" s="8"/>
      <c r="G97" s="8" t="s">
        <v>35</v>
      </c>
      <c r="H97" s="8" t="s">
        <v>21</v>
      </c>
      <c r="I97" s="8">
        <v>6</v>
      </c>
      <c r="J97" s="8">
        <v>0</v>
      </c>
      <c r="K97" s="8">
        <v>6</v>
      </c>
      <c r="L97" s="8">
        <v>2</v>
      </c>
      <c r="M97" s="8"/>
      <c r="N97" s="8"/>
      <c r="O97" s="8"/>
      <c r="P97" s="8"/>
      <c r="Q97" s="8" t="s">
        <v>41</v>
      </c>
      <c r="R97" s="8" t="s">
        <v>8</v>
      </c>
      <c r="S97" s="8" t="s">
        <v>13</v>
      </c>
    </row>
    <row r="98" spans="2:19">
      <c r="B98" s="8"/>
      <c r="C98" s="95">
        <v>244761</v>
      </c>
      <c r="D98" s="8" t="s">
        <v>211</v>
      </c>
      <c r="E98" s="8" t="s">
        <v>365</v>
      </c>
      <c r="F98" s="8"/>
      <c r="G98" s="8" t="s">
        <v>81</v>
      </c>
      <c r="H98" s="8" t="s">
        <v>21</v>
      </c>
      <c r="I98" s="8">
        <v>3</v>
      </c>
      <c r="J98" s="8">
        <v>3</v>
      </c>
      <c r="K98" s="8">
        <v>0</v>
      </c>
      <c r="L98" s="8">
        <v>2</v>
      </c>
      <c r="M98" s="8"/>
      <c r="N98" s="8"/>
      <c r="O98" s="8"/>
      <c r="P98" s="8"/>
      <c r="Q98" s="8"/>
      <c r="R98" s="8" t="s">
        <v>8</v>
      </c>
      <c r="S98" s="8" t="s">
        <v>13</v>
      </c>
    </row>
    <row r="99" spans="2:19">
      <c r="B99" s="8"/>
      <c r="C99" s="95">
        <v>244761</v>
      </c>
      <c r="D99" s="8" t="s">
        <v>211</v>
      </c>
      <c r="E99" s="8" t="s">
        <v>256</v>
      </c>
      <c r="F99" s="8"/>
      <c r="G99" s="8" t="s">
        <v>81</v>
      </c>
      <c r="H99" s="8" t="s">
        <v>20</v>
      </c>
      <c r="I99" s="8">
        <v>8</v>
      </c>
      <c r="J99" s="8">
        <v>8</v>
      </c>
      <c r="K99" s="8">
        <v>0</v>
      </c>
      <c r="L99" s="8">
        <v>2</v>
      </c>
      <c r="M99" s="8"/>
      <c r="N99" s="8"/>
      <c r="O99" s="8"/>
      <c r="P99" s="8"/>
      <c r="Q99" s="8" t="s">
        <v>41</v>
      </c>
      <c r="R99" s="8" t="s">
        <v>8</v>
      </c>
      <c r="S99" s="8" t="s">
        <v>8</v>
      </c>
    </row>
    <row r="100" spans="2:19">
      <c r="B100" s="8"/>
      <c r="C100" s="95">
        <v>244761</v>
      </c>
      <c r="D100" s="8" t="s">
        <v>211</v>
      </c>
      <c r="E100" s="8" t="s">
        <v>366</v>
      </c>
      <c r="F100" s="8"/>
      <c r="G100" s="8" t="s">
        <v>81</v>
      </c>
      <c r="H100" s="8" t="s">
        <v>20</v>
      </c>
      <c r="I100" s="8">
        <v>6</v>
      </c>
      <c r="J100" s="8">
        <v>6</v>
      </c>
      <c r="K100" s="8">
        <v>0</v>
      </c>
      <c r="L100" s="8">
        <v>2</v>
      </c>
      <c r="M100" s="8"/>
      <c r="N100" s="8"/>
      <c r="O100" s="8"/>
      <c r="P100" s="8"/>
      <c r="Q100" s="8"/>
      <c r="R100" s="8" t="s">
        <v>8</v>
      </c>
      <c r="S100" s="8" t="s">
        <v>8</v>
      </c>
    </row>
    <row r="101" spans="2:19">
      <c r="B101" s="8"/>
      <c r="C101" s="95">
        <v>244761</v>
      </c>
      <c r="D101" s="8" t="s">
        <v>211</v>
      </c>
      <c r="E101" s="8" t="s">
        <v>367</v>
      </c>
      <c r="F101" s="8"/>
      <c r="G101" s="8" t="s">
        <v>81</v>
      </c>
      <c r="H101" s="8" t="s">
        <v>20</v>
      </c>
      <c r="I101" s="8">
        <v>10</v>
      </c>
      <c r="J101" s="8">
        <v>10</v>
      </c>
      <c r="K101" s="8">
        <v>0</v>
      </c>
      <c r="L101" s="8">
        <v>2</v>
      </c>
      <c r="M101" s="8"/>
      <c r="N101" s="8"/>
      <c r="O101" s="8"/>
      <c r="P101" s="8"/>
      <c r="Q101" s="8" t="s">
        <v>83</v>
      </c>
      <c r="R101" s="8" t="s">
        <v>8</v>
      </c>
      <c r="S101" s="8" t="s">
        <v>8</v>
      </c>
    </row>
    <row r="102" spans="2:19">
      <c r="B102" s="8"/>
      <c r="C102" s="95">
        <v>244757</v>
      </c>
      <c r="D102" s="8" t="s">
        <v>211</v>
      </c>
      <c r="E102" s="8" t="s">
        <v>368</v>
      </c>
      <c r="F102" s="8"/>
      <c r="G102" s="8" t="s">
        <v>35</v>
      </c>
      <c r="H102" s="8" t="s">
        <v>21</v>
      </c>
      <c r="I102" s="8">
        <v>5</v>
      </c>
      <c r="J102" s="8">
        <v>5</v>
      </c>
      <c r="K102" s="8">
        <v>0</v>
      </c>
      <c r="L102" s="8">
        <v>2</v>
      </c>
      <c r="M102" s="8"/>
      <c r="N102" s="8"/>
      <c r="O102" s="8"/>
      <c r="P102" s="8"/>
      <c r="Q102" s="8"/>
      <c r="R102" s="8" t="s">
        <v>8</v>
      </c>
      <c r="S102" s="8" t="s">
        <v>13</v>
      </c>
    </row>
    <row r="103" spans="2:19">
      <c r="B103" s="8"/>
      <c r="C103" s="95">
        <v>244757</v>
      </c>
      <c r="D103" s="8" t="s">
        <v>211</v>
      </c>
      <c r="E103" s="8" t="s">
        <v>369</v>
      </c>
      <c r="F103" s="8"/>
      <c r="G103" s="8" t="s">
        <v>77</v>
      </c>
      <c r="H103" s="8" t="s">
        <v>21</v>
      </c>
      <c r="I103" s="8">
        <v>2</v>
      </c>
      <c r="J103" s="8">
        <v>0</v>
      </c>
      <c r="K103" s="8">
        <v>2</v>
      </c>
      <c r="L103" s="8">
        <v>2</v>
      </c>
      <c r="M103" s="8"/>
      <c r="N103" s="8"/>
      <c r="O103" s="8"/>
      <c r="P103" s="8"/>
      <c r="Q103" s="8"/>
      <c r="R103" s="8" t="s">
        <v>8</v>
      </c>
      <c r="S103" s="8" t="s">
        <v>13</v>
      </c>
    </row>
    <row r="104" spans="2:19">
      <c r="B104" s="8"/>
      <c r="C104" s="95">
        <v>244758</v>
      </c>
      <c r="D104" s="8" t="s">
        <v>211</v>
      </c>
      <c r="E104" s="8" t="s">
        <v>370</v>
      </c>
      <c r="F104" s="8"/>
      <c r="G104" s="8" t="s">
        <v>77</v>
      </c>
      <c r="H104" s="8" t="s">
        <v>21</v>
      </c>
      <c r="I104" s="8">
        <v>4</v>
      </c>
      <c r="J104" s="8">
        <v>0</v>
      </c>
      <c r="K104" s="8">
        <v>4</v>
      </c>
      <c r="L104" s="8">
        <v>2</v>
      </c>
      <c r="M104" s="8"/>
      <c r="N104" s="8"/>
      <c r="O104" s="8"/>
      <c r="P104" s="8"/>
      <c r="Q104" s="8"/>
      <c r="R104" s="8" t="s">
        <v>8</v>
      </c>
      <c r="S104" s="8" t="s">
        <v>13</v>
      </c>
    </row>
    <row r="105" spans="2:19">
      <c r="B105" s="8"/>
      <c r="C105" s="95">
        <v>244758</v>
      </c>
      <c r="D105" s="8" t="s">
        <v>211</v>
      </c>
      <c r="E105" s="8" t="s">
        <v>371</v>
      </c>
      <c r="F105" s="8"/>
      <c r="G105" s="8" t="s">
        <v>77</v>
      </c>
      <c r="H105" s="8" t="s">
        <v>21</v>
      </c>
      <c r="I105" s="8">
        <v>2</v>
      </c>
      <c r="J105" s="8">
        <v>0</v>
      </c>
      <c r="K105" s="8">
        <v>2</v>
      </c>
      <c r="L105" s="8">
        <v>2</v>
      </c>
      <c r="M105" s="8"/>
      <c r="N105" s="8"/>
      <c r="O105" s="8"/>
      <c r="P105" s="8"/>
      <c r="Q105" s="8"/>
      <c r="R105" s="8" t="s">
        <v>8</v>
      </c>
      <c r="S105" s="8" t="s">
        <v>13</v>
      </c>
    </row>
    <row r="106" spans="2:19">
      <c r="B106" s="8"/>
      <c r="C106" s="95">
        <v>244758</v>
      </c>
      <c r="D106" s="8" t="s">
        <v>211</v>
      </c>
      <c r="E106" s="8" t="s">
        <v>372</v>
      </c>
      <c r="F106" s="8"/>
      <c r="G106" s="8" t="s">
        <v>77</v>
      </c>
      <c r="H106" s="8" t="s">
        <v>21</v>
      </c>
      <c r="I106" s="8">
        <v>4</v>
      </c>
      <c r="J106" s="8">
        <v>0</v>
      </c>
      <c r="K106" s="8">
        <v>4</v>
      </c>
      <c r="L106" s="8">
        <v>2</v>
      </c>
      <c r="M106" s="8"/>
      <c r="N106" s="8"/>
      <c r="O106" s="8"/>
      <c r="P106" s="8"/>
      <c r="Q106" s="8"/>
      <c r="R106" s="8" t="s">
        <v>8</v>
      </c>
      <c r="S106" s="8" t="s">
        <v>13</v>
      </c>
    </row>
    <row r="107" spans="2:19">
      <c r="B107" s="8"/>
      <c r="C107" s="95">
        <v>263534</v>
      </c>
      <c r="D107" s="8" t="s">
        <v>211</v>
      </c>
      <c r="E107" s="8" t="s">
        <v>263</v>
      </c>
      <c r="F107" s="8"/>
      <c r="G107" s="8" t="s">
        <v>81</v>
      </c>
      <c r="H107" s="8" t="s">
        <v>14</v>
      </c>
      <c r="I107" s="8">
        <v>7</v>
      </c>
      <c r="J107" s="8">
        <v>10</v>
      </c>
      <c r="K107" s="8">
        <v>0</v>
      </c>
      <c r="L107" s="8">
        <v>2</v>
      </c>
      <c r="M107" s="8"/>
      <c r="N107" s="8"/>
      <c r="O107" s="8"/>
      <c r="P107" s="8"/>
      <c r="Q107" s="8"/>
      <c r="R107" s="8" t="s">
        <v>264</v>
      </c>
      <c r="S107" s="8" t="s">
        <v>265</v>
      </c>
    </row>
    <row r="108" spans="2:19">
      <c r="B108" s="8"/>
      <c r="C108" s="95">
        <v>263534</v>
      </c>
      <c r="D108" s="8" t="s">
        <v>211</v>
      </c>
      <c r="E108" s="8" t="s">
        <v>266</v>
      </c>
      <c r="F108" s="8"/>
      <c r="G108" s="8" t="s">
        <v>81</v>
      </c>
      <c r="H108" s="8" t="s">
        <v>14</v>
      </c>
      <c r="I108" s="8">
        <v>7</v>
      </c>
      <c r="J108" s="8">
        <v>7</v>
      </c>
      <c r="K108" s="8">
        <v>0</v>
      </c>
      <c r="L108" s="8">
        <v>2</v>
      </c>
      <c r="M108" s="8"/>
      <c r="N108" s="8"/>
      <c r="O108" s="8"/>
      <c r="P108" s="8"/>
      <c r="Q108" s="8"/>
      <c r="R108" s="8" t="s">
        <v>267</v>
      </c>
      <c r="S108" s="8" t="s">
        <v>265</v>
      </c>
    </row>
    <row r="109" spans="2:19">
      <c r="B109" s="8"/>
      <c r="C109" s="95">
        <v>263534</v>
      </c>
      <c r="D109" s="8" t="s">
        <v>211</v>
      </c>
      <c r="E109" s="8" t="s">
        <v>373</v>
      </c>
      <c r="F109" s="8"/>
      <c r="G109" s="8" t="s">
        <v>81</v>
      </c>
      <c r="H109" s="8" t="s">
        <v>14</v>
      </c>
      <c r="I109" s="8">
        <v>7</v>
      </c>
      <c r="J109" s="8">
        <v>7</v>
      </c>
      <c r="K109" s="8">
        <v>0</v>
      </c>
      <c r="L109" s="8">
        <v>2</v>
      </c>
      <c r="M109" s="8"/>
      <c r="N109" s="8"/>
      <c r="O109" s="8"/>
      <c r="P109" s="8"/>
      <c r="Q109" s="8"/>
      <c r="R109" s="8" t="s">
        <v>226</v>
      </c>
      <c r="S109" s="8" t="s">
        <v>15</v>
      </c>
    </row>
    <row r="110" spans="2:19">
      <c r="B110" s="8"/>
      <c r="C110" s="95">
        <v>263834</v>
      </c>
      <c r="D110" s="8" t="s">
        <v>211</v>
      </c>
      <c r="E110" s="8" t="s">
        <v>374</v>
      </c>
      <c r="F110" s="8"/>
      <c r="G110" s="8" t="s">
        <v>81</v>
      </c>
      <c r="H110" s="8" t="s">
        <v>16</v>
      </c>
      <c r="I110" s="8">
        <v>3</v>
      </c>
      <c r="J110" s="8">
        <v>6.5</v>
      </c>
      <c r="K110" s="8">
        <v>0</v>
      </c>
      <c r="L110" s="8">
        <v>2</v>
      </c>
      <c r="M110" s="8"/>
      <c r="N110" s="8"/>
      <c r="O110" s="8"/>
      <c r="P110" s="8"/>
      <c r="Q110" s="8"/>
      <c r="R110" s="8" t="s">
        <v>8</v>
      </c>
      <c r="S110" s="8" t="s">
        <v>13</v>
      </c>
    </row>
    <row r="111" spans="2:19">
      <c r="B111" s="8"/>
      <c r="C111" s="95">
        <v>263834</v>
      </c>
      <c r="D111" s="8" t="s">
        <v>211</v>
      </c>
      <c r="E111" s="8" t="s">
        <v>375</v>
      </c>
      <c r="F111" s="8"/>
      <c r="G111" s="8" t="s">
        <v>81</v>
      </c>
      <c r="H111" s="8" t="s">
        <v>16</v>
      </c>
      <c r="I111" s="8">
        <v>3</v>
      </c>
      <c r="J111" s="8">
        <v>3</v>
      </c>
      <c r="K111" s="8">
        <v>0</v>
      </c>
      <c r="L111" s="8">
        <v>2</v>
      </c>
      <c r="M111" s="8"/>
      <c r="N111" s="8"/>
      <c r="O111" s="8"/>
      <c r="P111" s="8"/>
      <c r="Q111" s="8"/>
      <c r="R111" s="8" t="s">
        <v>8</v>
      </c>
      <c r="S111" s="8" t="s">
        <v>13</v>
      </c>
    </row>
    <row r="112" spans="2:19">
      <c r="B112" s="8"/>
      <c r="C112" s="95">
        <v>263834</v>
      </c>
      <c r="D112" s="8" t="s">
        <v>211</v>
      </c>
      <c r="E112" s="8" t="s">
        <v>376</v>
      </c>
      <c r="F112" s="8"/>
      <c r="G112" s="8" t="s">
        <v>81</v>
      </c>
      <c r="H112" s="8" t="s">
        <v>16</v>
      </c>
      <c r="I112" s="8">
        <v>3</v>
      </c>
      <c r="J112" s="8">
        <v>7</v>
      </c>
      <c r="K112" s="8">
        <v>0</v>
      </c>
      <c r="L112" s="8">
        <v>2</v>
      </c>
      <c r="M112" s="8"/>
      <c r="N112" s="8"/>
      <c r="O112" s="8"/>
      <c r="P112" s="8"/>
      <c r="Q112" s="8"/>
      <c r="R112" s="8" t="s">
        <v>8</v>
      </c>
      <c r="S112" s="8" t="s">
        <v>13</v>
      </c>
    </row>
    <row r="113" spans="2:19">
      <c r="B113" s="8"/>
      <c r="C113" s="95">
        <v>263834</v>
      </c>
      <c r="D113" s="8" t="s">
        <v>211</v>
      </c>
      <c r="E113" s="8" t="s">
        <v>377</v>
      </c>
      <c r="F113" s="8"/>
      <c r="G113" s="8" t="s">
        <v>81</v>
      </c>
      <c r="H113" s="8" t="s">
        <v>18</v>
      </c>
      <c r="I113" s="8">
        <v>2</v>
      </c>
      <c r="J113" s="8">
        <v>2</v>
      </c>
      <c r="K113" s="8">
        <v>0</v>
      </c>
      <c r="L113" s="8">
        <v>2</v>
      </c>
      <c r="M113" s="8"/>
      <c r="N113" s="8"/>
      <c r="O113" s="8"/>
      <c r="P113" s="8"/>
      <c r="Q113" s="8"/>
      <c r="R113" s="8" t="s">
        <v>8</v>
      </c>
      <c r="S113" s="8" t="s">
        <v>8</v>
      </c>
    </row>
    <row r="114" spans="2:19">
      <c r="B114" s="8"/>
      <c r="C114" s="95">
        <v>264506</v>
      </c>
      <c r="D114" s="8" t="s">
        <v>211</v>
      </c>
      <c r="E114" s="8" t="s">
        <v>378</v>
      </c>
      <c r="F114" s="8"/>
      <c r="G114" s="8" t="s">
        <v>81</v>
      </c>
      <c r="H114" s="8" t="s">
        <v>18</v>
      </c>
      <c r="I114" s="8">
        <v>4</v>
      </c>
      <c r="J114" s="8">
        <v>4</v>
      </c>
      <c r="K114" s="8">
        <v>0</v>
      </c>
      <c r="L114" s="8">
        <v>2</v>
      </c>
      <c r="M114" s="8"/>
      <c r="N114" s="8"/>
      <c r="O114" s="8"/>
      <c r="P114" s="8"/>
      <c r="Q114" s="8"/>
      <c r="R114" s="8" t="s">
        <v>8</v>
      </c>
      <c r="S114" s="8" t="s">
        <v>8</v>
      </c>
    </row>
    <row r="115" spans="2:19">
      <c r="B115" s="8"/>
      <c r="C115" s="95">
        <v>264506</v>
      </c>
      <c r="D115" s="8" t="s">
        <v>211</v>
      </c>
      <c r="E115" s="8" t="s">
        <v>379</v>
      </c>
      <c r="F115" s="8"/>
      <c r="G115" s="8" t="s">
        <v>81</v>
      </c>
      <c r="H115" s="8" t="s">
        <v>18</v>
      </c>
      <c r="I115" s="8">
        <v>7</v>
      </c>
      <c r="J115" s="8">
        <v>7</v>
      </c>
      <c r="K115" s="8">
        <v>0</v>
      </c>
      <c r="L115" s="8">
        <v>2</v>
      </c>
      <c r="M115" s="8"/>
      <c r="N115" s="8"/>
      <c r="O115" s="8"/>
      <c r="P115" s="8"/>
      <c r="Q115" s="8"/>
      <c r="R115" s="8" t="s">
        <v>8</v>
      </c>
      <c r="S115" s="8" t="s">
        <v>8</v>
      </c>
    </row>
    <row r="116" spans="2:19">
      <c r="B116" s="8"/>
      <c r="C116" s="95">
        <v>247302</v>
      </c>
      <c r="D116" s="8" t="s">
        <v>211</v>
      </c>
      <c r="E116" s="8" t="s">
        <v>258</v>
      </c>
      <c r="F116" s="8"/>
      <c r="G116" s="8" t="s">
        <v>81</v>
      </c>
      <c r="H116" s="8" t="s">
        <v>23</v>
      </c>
      <c r="I116" s="8">
        <v>3</v>
      </c>
      <c r="J116" s="8">
        <v>4</v>
      </c>
      <c r="K116" s="8">
        <v>0</v>
      </c>
      <c r="L116" s="8">
        <v>2</v>
      </c>
      <c r="M116" s="8"/>
      <c r="N116" s="8"/>
      <c r="O116" s="8"/>
      <c r="P116" s="8"/>
      <c r="Q116" s="8"/>
      <c r="R116" s="8" t="s">
        <v>9</v>
      </c>
      <c r="S116" s="8" t="s">
        <v>9</v>
      </c>
    </row>
    <row r="117" spans="2:19">
      <c r="B117" s="8"/>
      <c r="C117" s="95">
        <v>247302</v>
      </c>
      <c r="D117" s="8" t="s">
        <v>211</v>
      </c>
      <c r="E117" s="8" t="s">
        <v>380</v>
      </c>
      <c r="F117" s="8"/>
      <c r="G117" s="8" t="s">
        <v>81</v>
      </c>
      <c r="H117" s="8" t="s">
        <v>14</v>
      </c>
      <c r="I117" s="8">
        <v>2</v>
      </c>
      <c r="J117" s="8">
        <v>2</v>
      </c>
      <c r="K117" s="8">
        <v>0</v>
      </c>
      <c r="L117" s="8">
        <v>2</v>
      </c>
      <c r="M117" s="8"/>
      <c r="N117" s="8"/>
      <c r="O117" s="8"/>
      <c r="P117" s="8"/>
      <c r="Q117" s="8"/>
      <c r="R117" s="8" t="s">
        <v>381</v>
      </c>
      <c r="S117" s="8" t="s">
        <v>15</v>
      </c>
    </row>
    <row r="118" spans="2:19">
      <c r="B118" s="8"/>
      <c r="C118" s="95">
        <v>253676</v>
      </c>
      <c r="D118" s="8" t="s">
        <v>211</v>
      </c>
      <c r="E118" s="8" t="s">
        <v>259</v>
      </c>
      <c r="F118" s="8"/>
      <c r="G118" s="8" t="s">
        <v>81</v>
      </c>
      <c r="H118" s="8" t="s">
        <v>18</v>
      </c>
      <c r="I118" s="8">
        <v>8</v>
      </c>
      <c r="J118" s="8">
        <v>8</v>
      </c>
      <c r="K118" s="8">
        <v>0</v>
      </c>
      <c r="L118" s="8">
        <v>2</v>
      </c>
      <c r="M118" s="8"/>
      <c r="N118" s="8"/>
      <c r="O118" s="8"/>
      <c r="P118" s="8"/>
      <c r="Q118" s="8"/>
      <c r="R118" s="8" t="s">
        <v>8</v>
      </c>
      <c r="S118" s="8" t="s">
        <v>8</v>
      </c>
    </row>
    <row r="119" spans="2:19">
      <c r="B119" s="8"/>
      <c r="C119" s="95">
        <v>253676</v>
      </c>
      <c r="D119" s="8" t="s">
        <v>211</v>
      </c>
      <c r="E119" s="8" t="s">
        <v>260</v>
      </c>
      <c r="F119" s="8"/>
      <c r="G119" s="8" t="s">
        <v>81</v>
      </c>
      <c r="H119" s="8" t="s">
        <v>18</v>
      </c>
      <c r="I119" s="8">
        <v>8</v>
      </c>
      <c r="J119" s="8">
        <v>8</v>
      </c>
      <c r="K119" s="8">
        <v>0</v>
      </c>
      <c r="L119" s="8">
        <v>2</v>
      </c>
      <c r="M119" s="8"/>
      <c r="N119" s="8"/>
      <c r="O119" s="8"/>
      <c r="P119" s="8"/>
      <c r="Q119" s="8"/>
      <c r="R119" s="8" t="s">
        <v>8</v>
      </c>
      <c r="S119" s="8" t="s">
        <v>8</v>
      </c>
    </row>
    <row r="120" spans="2:19">
      <c r="B120" s="8"/>
      <c r="C120" s="95">
        <v>253676</v>
      </c>
      <c r="D120" s="8" t="s">
        <v>211</v>
      </c>
      <c r="E120" s="8" t="s">
        <v>261</v>
      </c>
      <c r="F120" s="8"/>
      <c r="G120" s="8" t="s">
        <v>81</v>
      </c>
      <c r="H120" s="8" t="s">
        <v>18</v>
      </c>
      <c r="I120" s="8">
        <v>8</v>
      </c>
      <c r="J120" s="8">
        <v>8</v>
      </c>
      <c r="K120" s="8">
        <v>0</v>
      </c>
      <c r="L120" s="8">
        <v>2</v>
      </c>
      <c r="M120" s="8"/>
      <c r="N120" s="8"/>
      <c r="O120" s="8"/>
      <c r="P120" s="8"/>
      <c r="Q120" s="8"/>
      <c r="R120" s="8" t="s">
        <v>8</v>
      </c>
      <c r="S120" s="8" t="s">
        <v>8</v>
      </c>
    </row>
    <row r="121" spans="2:19">
      <c r="B121" s="8"/>
      <c r="C121" s="95">
        <v>253676</v>
      </c>
      <c r="D121" s="8" t="s">
        <v>211</v>
      </c>
      <c r="E121" s="8" t="s">
        <v>262</v>
      </c>
      <c r="F121" s="8"/>
      <c r="G121" s="8" t="s">
        <v>81</v>
      </c>
      <c r="H121" s="8" t="s">
        <v>18</v>
      </c>
      <c r="I121" s="8">
        <v>8</v>
      </c>
      <c r="J121" s="8">
        <v>6</v>
      </c>
      <c r="K121" s="8">
        <v>0</v>
      </c>
      <c r="L121" s="8">
        <v>2</v>
      </c>
      <c r="M121" s="8"/>
      <c r="N121" s="8"/>
      <c r="O121" s="8"/>
      <c r="P121" s="8"/>
      <c r="Q121" s="8" t="s">
        <v>83</v>
      </c>
      <c r="R121" s="8" t="s">
        <v>8</v>
      </c>
      <c r="S121" s="8" t="s">
        <v>8</v>
      </c>
    </row>
    <row r="122" spans="2:19">
      <c r="B122" s="8"/>
      <c r="C122" s="95">
        <v>247303</v>
      </c>
      <c r="D122" s="8" t="s">
        <v>211</v>
      </c>
      <c r="E122" s="8" t="s">
        <v>380</v>
      </c>
      <c r="F122" s="8"/>
      <c r="G122" s="8" t="s">
        <v>81</v>
      </c>
      <c r="H122" s="8" t="s">
        <v>14</v>
      </c>
      <c r="I122" s="8">
        <v>1</v>
      </c>
      <c r="J122" s="8">
        <v>1</v>
      </c>
      <c r="K122" s="8">
        <v>0</v>
      </c>
      <c r="L122" s="8">
        <v>2</v>
      </c>
      <c r="M122" s="8"/>
      <c r="N122" s="8"/>
      <c r="O122" s="8"/>
      <c r="P122" s="8"/>
      <c r="Q122" s="8"/>
      <c r="R122" s="8" t="s">
        <v>381</v>
      </c>
      <c r="S122" s="8" t="s">
        <v>15</v>
      </c>
    </row>
    <row r="123" spans="2:19">
      <c r="B123" s="8"/>
      <c r="C123" s="95">
        <v>247304</v>
      </c>
      <c r="D123" s="8" t="s">
        <v>211</v>
      </c>
      <c r="E123" s="8" t="s">
        <v>380</v>
      </c>
      <c r="F123" s="8"/>
      <c r="G123" s="8" t="s">
        <v>81</v>
      </c>
      <c r="H123" s="8" t="s">
        <v>14</v>
      </c>
      <c r="I123" s="8">
        <v>2</v>
      </c>
      <c r="J123" s="8">
        <v>1</v>
      </c>
      <c r="K123" s="8">
        <v>1</v>
      </c>
      <c r="L123" s="8">
        <v>2</v>
      </c>
      <c r="M123" s="8"/>
      <c r="N123" s="8"/>
      <c r="O123" s="8"/>
      <c r="P123" s="8"/>
      <c r="Q123" s="8"/>
      <c r="R123" s="8" t="s">
        <v>381</v>
      </c>
      <c r="S123" s="8" t="s">
        <v>15</v>
      </c>
    </row>
    <row r="124" spans="2:19">
      <c r="B124" s="8"/>
      <c r="C124" s="95">
        <v>247305</v>
      </c>
      <c r="D124" s="8" t="s">
        <v>211</v>
      </c>
      <c r="E124" s="8" t="s">
        <v>380</v>
      </c>
      <c r="F124" s="8"/>
      <c r="G124" s="8" t="s">
        <v>81</v>
      </c>
      <c r="H124" s="8" t="s">
        <v>14</v>
      </c>
      <c r="I124" s="8">
        <v>2</v>
      </c>
      <c r="J124" s="8">
        <v>2</v>
      </c>
      <c r="K124" s="8">
        <v>0</v>
      </c>
      <c r="L124" s="8">
        <v>2</v>
      </c>
      <c r="M124" s="8"/>
      <c r="N124" s="8"/>
      <c r="O124" s="8"/>
      <c r="P124" s="8"/>
      <c r="Q124" s="8"/>
      <c r="R124" s="8" t="s">
        <v>381</v>
      </c>
      <c r="S124" s="8" t="s">
        <v>15</v>
      </c>
    </row>
    <row r="125" spans="2:19">
      <c r="B125" s="8"/>
      <c r="C125" s="95">
        <v>247306</v>
      </c>
      <c r="D125" s="8" t="s">
        <v>211</v>
      </c>
      <c r="E125" s="8" t="s">
        <v>380</v>
      </c>
      <c r="F125" s="8"/>
      <c r="G125" s="8" t="s">
        <v>81</v>
      </c>
      <c r="H125" s="8" t="s">
        <v>14</v>
      </c>
      <c r="I125" s="8">
        <v>2</v>
      </c>
      <c r="J125" s="8">
        <v>1</v>
      </c>
      <c r="K125" s="8">
        <v>1</v>
      </c>
      <c r="L125" s="8">
        <v>2</v>
      </c>
      <c r="M125" s="8"/>
      <c r="N125" s="8"/>
      <c r="O125" s="8"/>
      <c r="P125" s="8"/>
      <c r="Q125" s="8"/>
      <c r="R125" s="8" t="s">
        <v>381</v>
      </c>
      <c r="S125" s="8" t="s">
        <v>15</v>
      </c>
    </row>
    <row r="126" spans="2:19">
      <c r="B126" s="8"/>
      <c r="C126" s="95">
        <v>247322</v>
      </c>
      <c r="D126" s="8" t="s">
        <v>211</v>
      </c>
      <c r="E126" s="8" t="s">
        <v>380</v>
      </c>
      <c r="F126" s="8"/>
      <c r="G126" s="8" t="s">
        <v>81</v>
      </c>
      <c r="H126" s="8" t="s">
        <v>14</v>
      </c>
      <c r="I126" s="8">
        <v>2</v>
      </c>
      <c r="J126" s="8">
        <v>2</v>
      </c>
      <c r="K126" s="8">
        <v>0</v>
      </c>
      <c r="L126" s="8">
        <v>2</v>
      </c>
      <c r="M126" s="8"/>
      <c r="N126" s="8"/>
      <c r="O126" s="8"/>
      <c r="P126" s="8"/>
      <c r="Q126" s="8"/>
      <c r="R126" s="8" t="s">
        <v>381</v>
      </c>
      <c r="S126" s="8" t="s">
        <v>15</v>
      </c>
    </row>
    <row r="127" spans="2:19">
      <c r="B127" s="8"/>
      <c r="C127" s="95">
        <v>247321</v>
      </c>
      <c r="D127" s="8" t="s">
        <v>211</v>
      </c>
      <c r="E127" s="8" t="s">
        <v>380</v>
      </c>
      <c r="F127" s="8"/>
      <c r="G127" s="8" t="s">
        <v>81</v>
      </c>
      <c r="H127" s="8" t="s">
        <v>14</v>
      </c>
      <c r="I127" s="8">
        <v>3</v>
      </c>
      <c r="J127" s="8">
        <v>2</v>
      </c>
      <c r="K127" s="8">
        <v>1</v>
      </c>
      <c r="L127" s="8">
        <v>2</v>
      </c>
      <c r="M127" s="8"/>
      <c r="N127" s="8"/>
      <c r="O127" s="8"/>
      <c r="P127" s="8"/>
      <c r="Q127" s="8"/>
      <c r="R127" s="8" t="s">
        <v>381</v>
      </c>
      <c r="S127" s="8" t="s">
        <v>15</v>
      </c>
    </row>
    <row r="128" spans="2:19">
      <c r="B128" s="8"/>
      <c r="C128" s="95">
        <v>247324</v>
      </c>
      <c r="D128" s="8" t="s">
        <v>211</v>
      </c>
      <c r="E128" s="8" t="s">
        <v>380</v>
      </c>
      <c r="F128" s="8"/>
      <c r="G128" s="8" t="s">
        <v>81</v>
      </c>
      <c r="H128" s="8" t="s">
        <v>14</v>
      </c>
      <c r="I128" s="8">
        <v>2</v>
      </c>
      <c r="J128" s="8">
        <v>2</v>
      </c>
      <c r="K128" s="8">
        <v>0</v>
      </c>
      <c r="L128" s="8">
        <v>2</v>
      </c>
      <c r="M128" s="8"/>
      <c r="N128" s="8"/>
      <c r="O128" s="8"/>
      <c r="P128" s="8"/>
      <c r="Q128" s="8"/>
      <c r="R128" s="8" t="s">
        <v>381</v>
      </c>
      <c r="S128" s="8" t="s">
        <v>15</v>
      </c>
    </row>
    <row r="129" spans="2:19">
      <c r="B129" s="8"/>
      <c r="C129" s="95">
        <v>247323</v>
      </c>
      <c r="D129" s="8" t="s">
        <v>211</v>
      </c>
      <c r="E129" s="8" t="s">
        <v>380</v>
      </c>
      <c r="F129" s="8"/>
      <c r="G129" s="8" t="s">
        <v>81</v>
      </c>
      <c r="H129" s="8" t="s">
        <v>14</v>
      </c>
      <c r="I129" s="8">
        <v>3</v>
      </c>
      <c r="J129" s="8">
        <v>2</v>
      </c>
      <c r="K129" s="8">
        <v>1</v>
      </c>
      <c r="L129" s="8">
        <v>2</v>
      </c>
      <c r="M129" s="8"/>
      <c r="N129" s="8"/>
      <c r="O129" s="8"/>
      <c r="P129" s="8"/>
      <c r="Q129" s="8"/>
      <c r="R129" s="8" t="s">
        <v>381</v>
      </c>
      <c r="S129" s="8" t="s">
        <v>15</v>
      </c>
    </row>
    <row r="130" spans="2:19">
      <c r="B130" s="8"/>
      <c r="C130" s="95">
        <v>247308</v>
      </c>
      <c r="D130" s="8" t="s">
        <v>211</v>
      </c>
      <c r="E130" s="8" t="s">
        <v>380</v>
      </c>
      <c r="F130" s="8"/>
      <c r="G130" s="8" t="s">
        <v>81</v>
      </c>
      <c r="H130" s="8" t="s">
        <v>14</v>
      </c>
      <c r="I130" s="8">
        <v>1</v>
      </c>
      <c r="J130" s="8">
        <v>1</v>
      </c>
      <c r="K130" s="8">
        <v>0</v>
      </c>
      <c r="L130" s="8">
        <v>2</v>
      </c>
      <c r="M130" s="8"/>
      <c r="N130" s="8"/>
      <c r="O130" s="8"/>
      <c r="P130" s="8"/>
      <c r="Q130" s="8"/>
      <c r="R130" s="8" t="s">
        <v>381</v>
      </c>
      <c r="S130" s="8" t="s">
        <v>15</v>
      </c>
    </row>
    <row r="131" spans="2:19">
      <c r="B131" s="8"/>
      <c r="C131" s="95">
        <v>247315</v>
      </c>
      <c r="D131" s="8" t="s">
        <v>211</v>
      </c>
      <c r="E131" s="8" t="s">
        <v>268</v>
      </c>
      <c r="F131" s="8"/>
      <c r="G131" s="8" t="s">
        <v>35</v>
      </c>
      <c r="H131" s="8" t="s">
        <v>23</v>
      </c>
      <c r="I131" s="8">
        <v>2</v>
      </c>
      <c r="J131" s="8">
        <v>1</v>
      </c>
      <c r="K131" s="8">
        <v>1</v>
      </c>
      <c r="L131" s="8">
        <v>2</v>
      </c>
      <c r="M131" s="8"/>
      <c r="N131" s="8"/>
      <c r="O131" s="8"/>
      <c r="P131" s="8"/>
      <c r="Q131" s="8"/>
      <c r="R131" s="8" t="s">
        <v>9</v>
      </c>
      <c r="S131" s="8" t="s">
        <v>9</v>
      </c>
    </row>
    <row r="132" spans="2:19">
      <c r="B132" s="8"/>
      <c r="C132" s="95">
        <v>247313</v>
      </c>
      <c r="D132" s="8" t="s">
        <v>211</v>
      </c>
      <c r="E132" s="8" t="s">
        <v>380</v>
      </c>
      <c r="F132" s="8"/>
      <c r="G132" s="8" t="s">
        <v>81</v>
      </c>
      <c r="H132" s="8" t="s">
        <v>14</v>
      </c>
      <c r="I132" s="8">
        <v>2</v>
      </c>
      <c r="J132" s="8">
        <v>2</v>
      </c>
      <c r="K132" s="8">
        <v>0</v>
      </c>
      <c r="L132" s="8">
        <v>2</v>
      </c>
      <c r="M132" s="8"/>
      <c r="N132" s="8"/>
      <c r="O132" s="8"/>
      <c r="P132" s="8"/>
      <c r="Q132" s="8"/>
      <c r="R132" s="8" t="s">
        <v>381</v>
      </c>
      <c r="S132" s="8" t="s">
        <v>15</v>
      </c>
    </row>
    <row r="133" spans="2:19">
      <c r="B133" s="8"/>
      <c r="C133" s="95">
        <v>247314</v>
      </c>
      <c r="D133" s="8" t="s">
        <v>211</v>
      </c>
      <c r="E133" s="8" t="s">
        <v>380</v>
      </c>
      <c r="F133" s="8"/>
      <c r="G133" s="8" t="s">
        <v>81</v>
      </c>
      <c r="H133" s="8" t="s">
        <v>14</v>
      </c>
      <c r="I133" s="8">
        <v>2</v>
      </c>
      <c r="J133" s="8">
        <v>2</v>
      </c>
      <c r="K133" s="8">
        <v>0</v>
      </c>
      <c r="L133" s="8">
        <v>2</v>
      </c>
      <c r="M133" s="8"/>
      <c r="N133" s="8"/>
      <c r="O133" s="8"/>
      <c r="P133" s="8"/>
      <c r="Q133" s="8"/>
      <c r="R133" s="8" t="s">
        <v>381</v>
      </c>
      <c r="S133" s="8" t="s">
        <v>15</v>
      </c>
    </row>
    <row r="134" spans="2:19">
      <c r="B134" s="8"/>
      <c r="C134" s="95">
        <v>247316</v>
      </c>
      <c r="D134" s="8" t="s">
        <v>211</v>
      </c>
      <c r="E134" s="8" t="s">
        <v>380</v>
      </c>
      <c r="F134" s="8"/>
      <c r="G134" s="8" t="s">
        <v>81</v>
      </c>
      <c r="H134" s="8" t="s">
        <v>14</v>
      </c>
      <c r="I134" s="8">
        <v>2</v>
      </c>
      <c r="J134" s="8">
        <v>2</v>
      </c>
      <c r="K134" s="8">
        <v>0</v>
      </c>
      <c r="L134" s="8">
        <v>2</v>
      </c>
      <c r="M134" s="8"/>
      <c r="N134" s="8"/>
      <c r="O134" s="8"/>
      <c r="P134" s="8"/>
      <c r="Q134" s="8"/>
      <c r="R134" s="8" t="s">
        <v>381</v>
      </c>
      <c r="S134" s="8" t="s">
        <v>15</v>
      </c>
    </row>
    <row r="135" spans="2:19">
      <c r="B135" s="8"/>
      <c r="C135" s="95">
        <v>247312</v>
      </c>
      <c r="D135" s="8" t="s">
        <v>211</v>
      </c>
      <c r="E135" s="8" t="s">
        <v>269</v>
      </c>
      <c r="F135" s="8"/>
      <c r="G135" s="8" t="s">
        <v>81</v>
      </c>
      <c r="H135" s="8" t="s">
        <v>23</v>
      </c>
      <c r="I135" s="8">
        <v>1</v>
      </c>
      <c r="J135" s="8">
        <v>0.52</v>
      </c>
      <c r="K135" s="8">
        <v>0</v>
      </c>
      <c r="L135" s="8">
        <v>2</v>
      </c>
      <c r="M135" s="8"/>
      <c r="N135" s="8"/>
      <c r="O135" s="8"/>
      <c r="P135" s="8"/>
      <c r="Q135" s="8"/>
      <c r="R135" s="8" t="s">
        <v>9</v>
      </c>
      <c r="S135" s="8" t="s">
        <v>9</v>
      </c>
    </row>
    <row r="136" spans="2:19">
      <c r="B136" s="8"/>
      <c r="C136" s="95">
        <v>247312</v>
      </c>
      <c r="D136" s="8" t="s">
        <v>211</v>
      </c>
      <c r="E136" s="8" t="s">
        <v>380</v>
      </c>
      <c r="F136" s="8"/>
      <c r="G136" s="8" t="s">
        <v>81</v>
      </c>
      <c r="H136" s="8" t="s">
        <v>14</v>
      </c>
      <c r="I136" s="8">
        <v>2</v>
      </c>
      <c r="J136" s="8">
        <v>2</v>
      </c>
      <c r="K136" s="8">
        <v>0</v>
      </c>
      <c r="L136" s="8">
        <v>2</v>
      </c>
      <c r="M136" s="8"/>
      <c r="N136" s="8"/>
      <c r="O136" s="8"/>
      <c r="P136" s="8"/>
      <c r="Q136" s="8"/>
      <c r="R136" s="8" t="s">
        <v>381</v>
      </c>
      <c r="S136" s="8" t="s">
        <v>15</v>
      </c>
    </row>
    <row r="137" spans="2:19">
      <c r="B137" s="8"/>
      <c r="C137" s="95">
        <v>247310</v>
      </c>
      <c r="D137" s="8" t="s">
        <v>211</v>
      </c>
      <c r="E137" s="8" t="s">
        <v>270</v>
      </c>
      <c r="F137" s="8"/>
      <c r="G137" s="8" t="s">
        <v>81</v>
      </c>
      <c r="H137" s="8" t="s">
        <v>23</v>
      </c>
      <c r="I137" s="8">
        <v>3</v>
      </c>
      <c r="J137" s="8">
        <v>4</v>
      </c>
      <c r="K137" s="8">
        <v>0</v>
      </c>
      <c r="L137" s="8">
        <v>2</v>
      </c>
      <c r="M137" s="8"/>
      <c r="N137" s="8"/>
      <c r="O137" s="8"/>
      <c r="P137" s="8"/>
      <c r="Q137" s="8"/>
      <c r="R137" s="8" t="s">
        <v>9</v>
      </c>
      <c r="S137" s="8" t="s">
        <v>9</v>
      </c>
    </row>
    <row r="138" spans="2:19">
      <c r="B138" s="8"/>
      <c r="C138" s="95">
        <v>247310</v>
      </c>
      <c r="D138" s="8" t="s">
        <v>211</v>
      </c>
      <c r="E138" s="8" t="s">
        <v>271</v>
      </c>
      <c r="F138" s="8"/>
      <c r="G138" s="8" t="s">
        <v>81</v>
      </c>
      <c r="H138" s="8" t="s">
        <v>18</v>
      </c>
      <c r="I138" s="8">
        <v>4</v>
      </c>
      <c r="J138" s="8">
        <v>4</v>
      </c>
      <c r="K138" s="8">
        <v>0</v>
      </c>
      <c r="L138" s="8">
        <v>2</v>
      </c>
      <c r="M138" s="8"/>
      <c r="N138" s="8"/>
      <c r="O138" s="8"/>
      <c r="P138" s="8"/>
      <c r="Q138" s="8"/>
      <c r="R138" s="8" t="s">
        <v>8</v>
      </c>
      <c r="S138" s="8" t="s">
        <v>8</v>
      </c>
    </row>
    <row r="139" spans="2:19">
      <c r="B139" s="8"/>
      <c r="C139" s="95">
        <v>247310</v>
      </c>
      <c r="D139" s="8" t="s">
        <v>211</v>
      </c>
      <c r="E139" s="8" t="s">
        <v>272</v>
      </c>
      <c r="F139" s="8"/>
      <c r="G139" s="8" t="s">
        <v>81</v>
      </c>
      <c r="H139" s="8" t="s">
        <v>23</v>
      </c>
      <c r="I139" s="8">
        <v>1.5</v>
      </c>
      <c r="J139" s="8">
        <v>1.5</v>
      </c>
      <c r="K139" s="8">
        <v>0</v>
      </c>
      <c r="L139" s="8">
        <v>2</v>
      </c>
      <c r="M139" s="8"/>
      <c r="N139" s="8"/>
      <c r="O139" s="8"/>
      <c r="P139" s="8"/>
      <c r="Q139" s="8" t="s">
        <v>83</v>
      </c>
      <c r="R139" s="8" t="s">
        <v>9</v>
      </c>
      <c r="S139" s="8" t="s">
        <v>9</v>
      </c>
    </row>
    <row r="140" spans="2:19">
      <c r="B140" s="8"/>
      <c r="C140" s="95">
        <v>247319</v>
      </c>
      <c r="D140" s="8" t="s">
        <v>211</v>
      </c>
      <c r="E140" s="8" t="s">
        <v>380</v>
      </c>
      <c r="F140" s="8"/>
      <c r="G140" s="8" t="s">
        <v>81</v>
      </c>
      <c r="H140" s="8" t="s">
        <v>14</v>
      </c>
      <c r="I140" s="8">
        <v>1</v>
      </c>
      <c r="J140" s="8">
        <v>1</v>
      </c>
      <c r="K140" s="8">
        <v>0</v>
      </c>
      <c r="L140" s="8">
        <v>2</v>
      </c>
      <c r="M140" s="8"/>
      <c r="N140" s="8"/>
      <c r="O140" s="8"/>
      <c r="P140" s="8"/>
      <c r="Q140" s="8"/>
      <c r="R140" s="8" t="s">
        <v>381</v>
      </c>
      <c r="S140" s="8" t="s">
        <v>15</v>
      </c>
    </row>
    <row r="141" spans="2:19">
      <c r="B141" s="8"/>
      <c r="C141" s="95">
        <v>247311</v>
      </c>
      <c r="D141" s="8" t="s">
        <v>211</v>
      </c>
      <c r="E141" s="8" t="s">
        <v>380</v>
      </c>
      <c r="F141" s="8"/>
      <c r="G141" s="8" t="s">
        <v>81</v>
      </c>
      <c r="H141" s="8" t="s">
        <v>14</v>
      </c>
      <c r="I141" s="8">
        <v>2</v>
      </c>
      <c r="J141" s="8">
        <v>2</v>
      </c>
      <c r="K141" s="8">
        <v>0</v>
      </c>
      <c r="L141" s="8">
        <v>2</v>
      </c>
      <c r="M141" s="8"/>
      <c r="N141" s="8"/>
      <c r="O141" s="8"/>
      <c r="P141" s="8"/>
      <c r="Q141" s="8"/>
      <c r="R141" s="8" t="s">
        <v>381</v>
      </c>
      <c r="S141" s="8" t="s">
        <v>15</v>
      </c>
    </row>
    <row r="142" spans="2:19">
      <c r="B142" s="8"/>
      <c r="C142" s="95">
        <v>252836</v>
      </c>
      <c r="D142" s="8" t="s">
        <v>211</v>
      </c>
      <c r="E142" s="8" t="s">
        <v>273</v>
      </c>
      <c r="F142" s="8"/>
      <c r="G142" s="8" t="s">
        <v>81</v>
      </c>
      <c r="H142" s="8" t="s">
        <v>23</v>
      </c>
      <c r="I142" s="8">
        <v>3</v>
      </c>
      <c r="J142" s="8">
        <v>3</v>
      </c>
      <c r="K142" s="8">
        <v>0</v>
      </c>
      <c r="L142" s="8">
        <v>2</v>
      </c>
      <c r="M142" s="8"/>
      <c r="N142" s="8"/>
      <c r="O142" s="8"/>
      <c r="P142" s="8"/>
      <c r="Q142" s="8" t="s">
        <v>83</v>
      </c>
      <c r="R142" s="8" t="s">
        <v>9</v>
      </c>
      <c r="S142" s="8" t="s">
        <v>9</v>
      </c>
    </row>
    <row r="143" spans="2:19">
      <c r="B143" s="8"/>
      <c r="C143" s="95">
        <v>252836</v>
      </c>
      <c r="D143" s="8" t="s">
        <v>211</v>
      </c>
      <c r="E143" s="8" t="s">
        <v>274</v>
      </c>
      <c r="F143" s="8"/>
      <c r="G143" s="8" t="s">
        <v>81</v>
      </c>
      <c r="H143" s="8" t="s">
        <v>18</v>
      </c>
      <c r="I143" s="8">
        <v>4</v>
      </c>
      <c r="J143" s="8">
        <v>4</v>
      </c>
      <c r="K143" s="8">
        <v>0</v>
      </c>
      <c r="L143" s="8">
        <v>2</v>
      </c>
      <c r="M143" s="8"/>
      <c r="N143" s="8"/>
      <c r="O143" s="8"/>
      <c r="P143" s="8"/>
      <c r="Q143" s="8"/>
      <c r="R143" s="8" t="s">
        <v>8</v>
      </c>
      <c r="S143" s="8" t="s">
        <v>8</v>
      </c>
    </row>
    <row r="144" spans="2:19">
      <c r="B144" s="8"/>
      <c r="C144" s="95">
        <v>252836</v>
      </c>
      <c r="D144" s="8" t="s">
        <v>211</v>
      </c>
      <c r="E144" s="8" t="s">
        <v>275</v>
      </c>
      <c r="F144" s="8"/>
      <c r="G144" s="8" t="s">
        <v>81</v>
      </c>
      <c r="H144" s="8" t="s">
        <v>18</v>
      </c>
      <c r="I144" s="8">
        <v>4</v>
      </c>
      <c r="J144" s="8">
        <v>4</v>
      </c>
      <c r="K144" s="8">
        <v>0</v>
      </c>
      <c r="L144" s="8">
        <v>2</v>
      </c>
      <c r="M144" s="8"/>
      <c r="N144" s="8"/>
      <c r="O144" s="8"/>
      <c r="P144" s="8"/>
      <c r="Q144" s="8"/>
      <c r="R144" s="8" t="s">
        <v>8</v>
      </c>
      <c r="S144" s="8" t="s">
        <v>8</v>
      </c>
    </row>
    <row r="145" spans="2:19">
      <c r="B145" s="8"/>
      <c r="C145" s="95">
        <v>252836</v>
      </c>
      <c r="D145" s="8" t="s">
        <v>211</v>
      </c>
      <c r="E145" s="8" t="s">
        <v>382</v>
      </c>
      <c r="F145" s="8"/>
      <c r="G145" s="8" t="s">
        <v>81</v>
      </c>
      <c r="H145" s="8" t="s">
        <v>18</v>
      </c>
      <c r="I145" s="8">
        <v>4</v>
      </c>
      <c r="J145" s="8">
        <v>2</v>
      </c>
      <c r="K145" s="8">
        <v>0</v>
      </c>
      <c r="L145" s="8">
        <v>2</v>
      </c>
      <c r="M145" s="8"/>
      <c r="N145" s="8"/>
      <c r="O145" s="8"/>
      <c r="P145" s="8"/>
      <c r="Q145" s="8"/>
      <c r="R145" s="8" t="s">
        <v>8</v>
      </c>
      <c r="S145" s="8" t="s">
        <v>8</v>
      </c>
    </row>
    <row r="146" spans="2:19">
      <c r="B146" s="8"/>
      <c r="C146" s="95">
        <v>264492</v>
      </c>
      <c r="D146" s="8" t="s">
        <v>211</v>
      </c>
      <c r="E146" s="8" t="s">
        <v>383</v>
      </c>
      <c r="F146" s="8"/>
      <c r="G146" s="8" t="s">
        <v>81</v>
      </c>
      <c r="H146" s="8" t="s">
        <v>16</v>
      </c>
      <c r="I146" s="8">
        <v>4</v>
      </c>
      <c r="J146" s="8">
        <v>4</v>
      </c>
      <c r="K146" s="8">
        <v>0</v>
      </c>
      <c r="L146" s="8">
        <v>2</v>
      </c>
      <c r="M146" s="8"/>
      <c r="N146" s="8"/>
      <c r="O146" s="8"/>
      <c r="P146" s="8"/>
      <c r="Q146" s="8"/>
      <c r="R146" s="8" t="s">
        <v>8</v>
      </c>
      <c r="S146" s="8" t="s">
        <v>13</v>
      </c>
    </row>
    <row r="147" spans="2:19">
      <c r="B147" s="8"/>
      <c r="C147" s="95">
        <v>264492</v>
      </c>
      <c r="D147" s="8" t="s">
        <v>211</v>
      </c>
      <c r="E147" s="8" t="s">
        <v>384</v>
      </c>
      <c r="F147" s="8"/>
      <c r="G147" s="8" t="s">
        <v>81</v>
      </c>
      <c r="H147" s="8" t="s">
        <v>16</v>
      </c>
      <c r="I147" s="8">
        <v>5</v>
      </c>
      <c r="J147" s="8">
        <v>5</v>
      </c>
      <c r="K147" s="8">
        <v>0</v>
      </c>
      <c r="L147" s="8">
        <v>2</v>
      </c>
      <c r="M147" s="8"/>
      <c r="N147" s="8"/>
      <c r="O147" s="8"/>
      <c r="P147" s="8"/>
      <c r="Q147" s="8"/>
      <c r="R147" s="8" t="s">
        <v>8</v>
      </c>
      <c r="S147" s="8" t="s">
        <v>13</v>
      </c>
    </row>
    <row r="148" spans="2:19">
      <c r="B148" s="8"/>
      <c r="C148" s="95">
        <v>264492</v>
      </c>
      <c r="D148" s="8" t="s">
        <v>211</v>
      </c>
      <c r="E148" s="8" t="s">
        <v>385</v>
      </c>
      <c r="F148" s="8"/>
      <c r="G148" s="8" t="s">
        <v>81</v>
      </c>
      <c r="H148" s="8" t="s">
        <v>16</v>
      </c>
      <c r="I148" s="8">
        <v>5</v>
      </c>
      <c r="J148" s="8">
        <v>5</v>
      </c>
      <c r="K148" s="8">
        <v>0</v>
      </c>
      <c r="L148" s="8">
        <v>2</v>
      </c>
      <c r="M148" s="8"/>
      <c r="N148" s="8"/>
      <c r="O148" s="8"/>
      <c r="P148" s="8"/>
      <c r="Q148" s="8"/>
      <c r="R148" s="8" t="s">
        <v>8</v>
      </c>
      <c r="S148" s="8" t="s">
        <v>13</v>
      </c>
    </row>
    <row r="149" spans="2:19">
      <c r="B149" s="8"/>
      <c r="C149" s="95">
        <v>264492</v>
      </c>
      <c r="D149" s="8" t="s">
        <v>211</v>
      </c>
      <c r="E149" s="8" t="s">
        <v>386</v>
      </c>
      <c r="F149" s="8"/>
      <c r="G149" s="8" t="s">
        <v>35</v>
      </c>
      <c r="H149" s="8" t="s">
        <v>16</v>
      </c>
      <c r="I149" s="8">
        <v>4</v>
      </c>
      <c r="J149" s="8">
        <v>4</v>
      </c>
      <c r="K149" s="8">
        <v>0</v>
      </c>
      <c r="L149" s="8">
        <v>2</v>
      </c>
      <c r="M149" s="8"/>
      <c r="N149" s="8"/>
      <c r="O149" s="8"/>
      <c r="P149" s="8"/>
      <c r="Q149" s="8"/>
      <c r="R149" s="8" t="s">
        <v>8</v>
      </c>
      <c r="S149" s="8" t="s">
        <v>13</v>
      </c>
    </row>
    <row r="150" spans="2:19">
      <c r="B150" s="8"/>
      <c r="C150" s="95">
        <v>264492</v>
      </c>
      <c r="D150" s="8" t="s">
        <v>211</v>
      </c>
      <c r="E150" s="8" t="s">
        <v>387</v>
      </c>
      <c r="F150" s="8"/>
      <c r="G150" s="8" t="s">
        <v>35</v>
      </c>
      <c r="H150" s="8" t="s">
        <v>16</v>
      </c>
      <c r="I150" s="8">
        <v>4</v>
      </c>
      <c r="J150" s="8">
        <v>3.5</v>
      </c>
      <c r="K150" s="8">
        <v>0.5</v>
      </c>
      <c r="L150" s="8">
        <v>2</v>
      </c>
      <c r="M150" s="8"/>
      <c r="N150" s="8"/>
      <c r="O150" s="8"/>
      <c r="P150" s="8"/>
      <c r="Q150" s="8"/>
      <c r="R150" s="8" t="s">
        <v>8</v>
      </c>
      <c r="S150" s="8" t="s">
        <v>13</v>
      </c>
    </row>
    <row r="151" spans="2:19">
      <c r="B151" s="8"/>
      <c r="C151" s="95">
        <v>264492</v>
      </c>
      <c r="D151" s="8" t="s">
        <v>211</v>
      </c>
      <c r="E151" s="8" t="s">
        <v>388</v>
      </c>
      <c r="F151" s="8"/>
      <c r="G151" s="8" t="s">
        <v>81</v>
      </c>
      <c r="H151" s="8" t="s">
        <v>23</v>
      </c>
      <c r="I151" s="8">
        <v>2</v>
      </c>
      <c r="J151" s="8">
        <v>1</v>
      </c>
      <c r="K151" s="8">
        <v>0</v>
      </c>
      <c r="L151" s="8">
        <v>2</v>
      </c>
      <c r="M151" s="8"/>
      <c r="N151" s="8"/>
      <c r="O151" s="8"/>
      <c r="P151" s="8"/>
      <c r="Q151" s="8" t="s">
        <v>82</v>
      </c>
      <c r="R151" s="8" t="s">
        <v>9</v>
      </c>
      <c r="S151" s="8" t="s">
        <v>9</v>
      </c>
    </row>
    <row r="152" spans="2:19">
      <c r="B152" s="8"/>
      <c r="C152" s="95">
        <v>264494</v>
      </c>
      <c r="D152" s="8" t="s">
        <v>211</v>
      </c>
      <c r="E152" s="8" t="s">
        <v>389</v>
      </c>
      <c r="F152" s="8"/>
      <c r="G152" s="8" t="s">
        <v>81</v>
      </c>
      <c r="H152" s="8" t="s">
        <v>16</v>
      </c>
      <c r="I152" s="8">
        <v>4</v>
      </c>
      <c r="J152" s="8">
        <v>4</v>
      </c>
      <c r="K152" s="8">
        <v>0</v>
      </c>
      <c r="L152" s="8">
        <v>2</v>
      </c>
      <c r="M152" s="8"/>
      <c r="N152" s="8"/>
      <c r="O152" s="8"/>
      <c r="P152" s="8"/>
      <c r="Q152" s="8"/>
      <c r="R152" s="8" t="s">
        <v>8</v>
      </c>
      <c r="S152" s="8" t="s">
        <v>13</v>
      </c>
    </row>
    <row r="153" spans="2:19">
      <c r="B153" s="8"/>
      <c r="C153" s="95">
        <v>264494</v>
      </c>
      <c r="D153" s="8" t="s">
        <v>211</v>
      </c>
      <c r="E153" s="8" t="s">
        <v>390</v>
      </c>
      <c r="F153" s="8"/>
      <c r="G153" s="8" t="s">
        <v>81</v>
      </c>
      <c r="H153" s="8" t="s">
        <v>16</v>
      </c>
      <c r="I153" s="8">
        <v>4</v>
      </c>
      <c r="J153" s="8">
        <v>4</v>
      </c>
      <c r="K153" s="8">
        <v>0</v>
      </c>
      <c r="L153" s="8">
        <v>2</v>
      </c>
      <c r="M153" s="8"/>
      <c r="N153" s="8"/>
      <c r="O153" s="8"/>
      <c r="P153" s="8"/>
      <c r="Q153" s="8"/>
      <c r="R153" s="8" t="s">
        <v>8</v>
      </c>
      <c r="S153" s="8" t="s">
        <v>13</v>
      </c>
    </row>
    <row r="154" spans="2:19">
      <c r="B154" s="8"/>
      <c r="C154" s="95">
        <v>252825</v>
      </c>
      <c r="D154" s="8" t="s">
        <v>211</v>
      </c>
      <c r="E154" s="8" t="s">
        <v>292</v>
      </c>
      <c r="F154" s="8"/>
      <c r="G154" s="8" t="s">
        <v>81</v>
      </c>
      <c r="H154" s="8" t="s">
        <v>22</v>
      </c>
      <c r="I154" s="8">
        <v>7</v>
      </c>
      <c r="J154" s="8">
        <v>10.65</v>
      </c>
      <c r="K154" s="8">
        <v>0</v>
      </c>
      <c r="L154" s="8">
        <v>2</v>
      </c>
      <c r="M154" s="8"/>
      <c r="N154" s="8"/>
      <c r="O154" s="8"/>
      <c r="P154" s="8"/>
      <c r="Q154" s="8"/>
      <c r="R154" s="8" t="s">
        <v>9</v>
      </c>
      <c r="S154" s="8" t="s">
        <v>9</v>
      </c>
    </row>
    <row r="155" spans="2:19">
      <c r="B155" s="8"/>
      <c r="C155" s="95">
        <v>252825</v>
      </c>
      <c r="D155" s="8" t="s">
        <v>211</v>
      </c>
      <c r="E155" s="8" t="s">
        <v>293</v>
      </c>
      <c r="F155" s="8"/>
      <c r="G155" s="8" t="s">
        <v>81</v>
      </c>
      <c r="H155" s="8" t="s">
        <v>22</v>
      </c>
      <c r="I155" s="8">
        <v>7</v>
      </c>
      <c r="J155" s="8">
        <v>10</v>
      </c>
      <c r="K155" s="8">
        <v>0</v>
      </c>
      <c r="L155" s="8">
        <v>2</v>
      </c>
      <c r="M155" s="8"/>
      <c r="N155" s="8"/>
      <c r="O155" s="8"/>
      <c r="P155" s="8"/>
      <c r="Q155" s="8"/>
      <c r="R155" s="8" t="s">
        <v>9</v>
      </c>
      <c r="S155" s="8" t="s">
        <v>9</v>
      </c>
    </row>
    <row r="156" spans="2:19">
      <c r="B156" s="8"/>
      <c r="C156" s="95">
        <v>252825</v>
      </c>
      <c r="D156" s="8" t="s">
        <v>211</v>
      </c>
      <c r="E156" s="8" t="s">
        <v>295</v>
      </c>
      <c r="F156" s="8"/>
      <c r="G156" s="8" t="s">
        <v>81</v>
      </c>
      <c r="H156" s="8" t="s">
        <v>22</v>
      </c>
      <c r="I156" s="8">
        <v>7</v>
      </c>
      <c r="J156" s="8">
        <v>8</v>
      </c>
      <c r="K156" s="8">
        <v>0</v>
      </c>
      <c r="L156" s="8">
        <v>2</v>
      </c>
      <c r="M156" s="8"/>
      <c r="N156" s="8"/>
      <c r="O156" s="8"/>
      <c r="P156" s="8"/>
      <c r="Q156" s="8"/>
      <c r="R156" s="8" t="s">
        <v>9</v>
      </c>
      <c r="S156" s="8" t="s">
        <v>9</v>
      </c>
    </row>
    <row r="157" spans="2:19">
      <c r="B157" s="8"/>
      <c r="C157" s="95">
        <v>252825</v>
      </c>
      <c r="D157" s="8" t="s">
        <v>211</v>
      </c>
      <c r="E157" s="8" t="s">
        <v>294</v>
      </c>
      <c r="F157" s="8"/>
      <c r="G157" s="8" t="s">
        <v>81</v>
      </c>
      <c r="H157" s="8" t="s">
        <v>22</v>
      </c>
      <c r="I157" s="8">
        <v>7</v>
      </c>
      <c r="J157" s="8">
        <v>7</v>
      </c>
      <c r="K157" s="8">
        <v>0</v>
      </c>
      <c r="L157" s="8">
        <v>2</v>
      </c>
      <c r="M157" s="8"/>
      <c r="N157" s="8"/>
      <c r="O157" s="8"/>
      <c r="P157" s="8"/>
      <c r="Q157" s="8"/>
      <c r="R157" s="8" t="s">
        <v>9</v>
      </c>
      <c r="S157" s="8" t="s">
        <v>9</v>
      </c>
    </row>
    <row r="158" spans="2:19">
      <c r="B158" s="8"/>
      <c r="C158" s="95">
        <v>252825</v>
      </c>
      <c r="D158" s="8" t="s">
        <v>211</v>
      </c>
      <c r="E158" s="8" t="s">
        <v>296</v>
      </c>
      <c r="F158" s="8"/>
      <c r="G158" s="8" t="s">
        <v>81</v>
      </c>
      <c r="H158" s="8" t="s">
        <v>22</v>
      </c>
      <c r="I158" s="8">
        <v>6</v>
      </c>
      <c r="J158" s="8">
        <v>10</v>
      </c>
      <c r="K158" s="8">
        <v>0</v>
      </c>
      <c r="L158" s="8">
        <v>2</v>
      </c>
      <c r="M158" s="8"/>
      <c r="N158" s="8"/>
      <c r="O158" s="8"/>
      <c r="P158" s="8"/>
      <c r="Q158" s="8"/>
      <c r="R158" s="8" t="s">
        <v>9</v>
      </c>
      <c r="S158" s="8" t="s">
        <v>9</v>
      </c>
    </row>
    <row r="159" spans="2:19">
      <c r="B159" s="8"/>
      <c r="C159" s="95">
        <v>252825</v>
      </c>
      <c r="D159" s="8" t="s">
        <v>211</v>
      </c>
      <c r="E159" s="8" t="s">
        <v>297</v>
      </c>
      <c r="F159" s="8"/>
      <c r="G159" s="8" t="s">
        <v>81</v>
      </c>
      <c r="H159" s="8" t="s">
        <v>22</v>
      </c>
      <c r="I159" s="8">
        <v>4</v>
      </c>
      <c r="J159" s="8">
        <v>7.25</v>
      </c>
      <c r="K159" s="8">
        <v>0</v>
      </c>
      <c r="L159" s="8">
        <v>2</v>
      </c>
      <c r="M159" s="8"/>
      <c r="N159" s="8"/>
      <c r="O159" s="8"/>
      <c r="P159" s="8"/>
      <c r="Q159" s="8"/>
      <c r="R159" s="8" t="s">
        <v>9</v>
      </c>
      <c r="S159" s="8" t="s">
        <v>9</v>
      </c>
    </row>
    <row r="160" spans="2:19">
      <c r="B160" s="8"/>
      <c r="C160" s="95">
        <v>252825</v>
      </c>
      <c r="D160" s="8" t="s">
        <v>211</v>
      </c>
      <c r="E160" s="8" t="s">
        <v>298</v>
      </c>
      <c r="F160" s="8"/>
      <c r="G160" s="8" t="s">
        <v>81</v>
      </c>
      <c r="H160" s="8" t="s">
        <v>22</v>
      </c>
      <c r="I160" s="8">
        <v>7</v>
      </c>
      <c r="J160" s="8">
        <v>7</v>
      </c>
      <c r="K160" s="8">
        <v>0</v>
      </c>
      <c r="L160" s="8">
        <v>2</v>
      </c>
      <c r="M160" s="8"/>
      <c r="N160" s="8"/>
      <c r="O160" s="8"/>
      <c r="P160" s="8"/>
      <c r="Q160" s="8"/>
      <c r="R160" s="8" t="s">
        <v>9</v>
      </c>
      <c r="S160" s="8" t="s">
        <v>9</v>
      </c>
    </row>
    <row r="161" spans="2:19">
      <c r="B161" s="8"/>
      <c r="C161" s="95">
        <v>252825</v>
      </c>
      <c r="D161" s="8" t="s">
        <v>211</v>
      </c>
      <c r="E161" s="8" t="s">
        <v>391</v>
      </c>
      <c r="F161" s="8"/>
      <c r="G161" s="8" t="s">
        <v>81</v>
      </c>
      <c r="H161" s="8" t="s">
        <v>22</v>
      </c>
      <c r="I161" s="8">
        <v>6</v>
      </c>
      <c r="J161" s="8">
        <v>7</v>
      </c>
      <c r="K161" s="8">
        <v>0</v>
      </c>
      <c r="L161" s="8">
        <v>2</v>
      </c>
      <c r="M161" s="8"/>
      <c r="N161" s="8"/>
      <c r="O161" s="8"/>
      <c r="P161" s="8"/>
      <c r="Q161" s="8"/>
      <c r="R161" s="8" t="s">
        <v>9</v>
      </c>
      <c r="S161" s="8" t="s">
        <v>9</v>
      </c>
    </row>
    <row r="162" spans="2:19">
      <c r="B162" s="8"/>
      <c r="C162" s="95">
        <v>252825</v>
      </c>
      <c r="D162" s="8" t="s">
        <v>211</v>
      </c>
      <c r="E162" s="8" t="s">
        <v>392</v>
      </c>
      <c r="F162" s="8"/>
      <c r="G162" s="8" t="s">
        <v>81</v>
      </c>
      <c r="H162" s="8" t="s">
        <v>22</v>
      </c>
      <c r="I162" s="8">
        <v>7</v>
      </c>
      <c r="J162" s="8">
        <v>7.5</v>
      </c>
      <c r="K162" s="8">
        <v>0</v>
      </c>
      <c r="L162" s="8">
        <v>2</v>
      </c>
      <c r="M162" s="8"/>
      <c r="N162" s="8"/>
      <c r="O162" s="8"/>
      <c r="P162" s="8"/>
      <c r="Q162" s="8" t="s">
        <v>393</v>
      </c>
      <c r="R162" s="8" t="s">
        <v>9</v>
      </c>
      <c r="S162" s="8" t="s">
        <v>9</v>
      </c>
    </row>
    <row r="163" spans="2:19">
      <c r="B163" s="8"/>
      <c r="C163" s="95">
        <v>252825</v>
      </c>
      <c r="D163" s="8" t="s">
        <v>211</v>
      </c>
      <c r="E163" s="8" t="s">
        <v>394</v>
      </c>
      <c r="F163" s="8"/>
      <c r="G163" s="8" t="s">
        <v>81</v>
      </c>
      <c r="H163" s="8" t="s">
        <v>22</v>
      </c>
      <c r="I163" s="8">
        <v>7</v>
      </c>
      <c r="J163" s="8">
        <v>5.5</v>
      </c>
      <c r="K163" s="8">
        <v>1.5</v>
      </c>
      <c r="L163" s="8">
        <v>2</v>
      </c>
      <c r="M163" s="8"/>
      <c r="N163" s="8"/>
      <c r="O163" s="8"/>
      <c r="P163" s="8"/>
      <c r="Q163" s="8"/>
      <c r="R163" s="8" t="s">
        <v>9</v>
      </c>
      <c r="S163" s="8" t="s">
        <v>9</v>
      </c>
    </row>
    <row r="164" spans="2:19">
      <c r="B164" s="8"/>
      <c r="C164" s="95">
        <v>252825</v>
      </c>
      <c r="D164" s="8" t="s">
        <v>211</v>
      </c>
      <c r="E164" s="8" t="s">
        <v>395</v>
      </c>
      <c r="F164" s="8"/>
      <c r="G164" s="8" t="s">
        <v>81</v>
      </c>
      <c r="H164" s="8" t="s">
        <v>22</v>
      </c>
      <c r="I164" s="8">
        <v>5</v>
      </c>
      <c r="J164" s="8">
        <v>5</v>
      </c>
      <c r="K164" s="8">
        <v>0</v>
      </c>
      <c r="L164" s="8">
        <v>2</v>
      </c>
      <c r="M164" s="8"/>
      <c r="N164" s="8"/>
      <c r="O164" s="8"/>
      <c r="P164" s="8"/>
      <c r="Q164" s="8"/>
      <c r="R164" s="8" t="s">
        <v>9</v>
      </c>
      <c r="S164" s="8" t="s">
        <v>9</v>
      </c>
    </row>
    <row r="165" spans="2:19">
      <c r="B165" s="8"/>
      <c r="C165" s="95">
        <v>252825</v>
      </c>
      <c r="D165" s="8" t="s">
        <v>211</v>
      </c>
      <c r="E165" s="8" t="s">
        <v>396</v>
      </c>
      <c r="F165" s="8"/>
      <c r="G165" s="8" t="s">
        <v>81</v>
      </c>
      <c r="H165" s="8" t="s">
        <v>22</v>
      </c>
      <c r="I165" s="8">
        <v>4</v>
      </c>
      <c r="J165" s="8">
        <v>4</v>
      </c>
      <c r="K165" s="8">
        <v>0</v>
      </c>
      <c r="L165" s="8">
        <v>2</v>
      </c>
      <c r="M165" s="8"/>
      <c r="N165" s="8"/>
      <c r="O165" s="8"/>
      <c r="P165" s="8"/>
      <c r="Q165" s="8"/>
      <c r="R165" s="8" t="s">
        <v>9</v>
      </c>
      <c r="S165" s="8" t="s">
        <v>9</v>
      </c>
    </row>
    <row r="166" spans="2:19">
      <c r="B166" s="8"/>
      <c r="C166" s="95">
        <v>252825</v>
      </c>
      <c r="D166" s="8" t="s">
        <v>211</v>
      </c>
      <c r="E166" s="8" t="s">
        <v>397</v>
      </c>
      <c r="F166" s="8"/>
      <c r="G166" s="8" t="s">
        <v>81</v>
      </c>
      <c r="H166" s="8" t="s">
        <v>22</v>
      </c>
      <c r="I166" s="8">
        <v>7</v>
      </c>
      <c r="J166" s="8">
        <v>3</v>
      </c>
      <c r="K166" s="8">
        <v>4</v>
      </c>
      <c r="L166" s="8">
        <v>2</v>
      </c>
      <c r="M166" s="8"/>
      <c r="N166" s="8"/>
      <c r="O166" s="8"/>
      <c r="P166" s="8"/>
      <c r="Q166" s="8"/>
      <c r="R166" s="8" t="s">
        <v>9</v>
      </c>
      <c r="S166" s="8" t="s">
        <v>9</v>
      </c>
    </row>
    <row r="167" spans="2:19">
      <c r="B167" s="8"/>
      <c r="C167" s="95">
        <v>252825</v>
      </c>
      <c r="D167" s="8" t="s">
        <v>211</v>
      </c>
      <c r="E167" s="8" t="s">
        <v>398</v>
      </c>
      <c r="F167" s="8"/>
      <c r="G167" s="8" t="s">
        <v>81</v>
      </c>
      <c r="H167" s="8" t="s">
        <v>18</v>
      </c>
      <c r="I167" s="8">
        <v>5</v>
      </c>
      <c r="J167" s="8">
        <v>5</v>
      </c>
      <c r="K167" s="8">
        <v>0</v>
      </c>
      <c r="L167" s="8">
        <v>2</v>
      </c>
      <c r="M167" s="8"/>
      <c r="N167" s="8"/>
      <c r="O167" s="8"/>
      <c r="P167" s="8"/>
      <c r="Q167" s="8"/>
      <c r="R167" s="8" t="s">
        <v>8</v>
      </c>
      <c r="S167" s="8" t="s">
        <v>8</v>
      </c>
    </row>
    <row r="168" spans="2:19">
      <c r="B168" s="8"/>
      <c r="C168" s="95">
        <v>252825</v>
      </c>
      <c r="D168" s="8" t="s">
        <v>211</v>
      </c>
      <c r="E168" s="8" t="s">
        <v>399</v>
      </c>
      <c r="F168" s="8"/>
      <c r="G168" s="8" t="s">
        <v>81</v>
      </c>
      <c r="H168" s="8" t="s">
        <v>22</v>
      </c>
      <c r="I168" s="8">
        <v>4</v>
      </c>
      <c r="J168" s="8">
        <v>4</v>
      </c>
      <c r="K168" s="8">
        <v>0</v>
      </c>
      <c r="L168" s="8">
        <v>2</v>
      </c>
      <c r="M168" s="8"/>
      <c r="N168" s="8"/>
      <c r="O168" s="8"/>
      <c r="P168" s="8"/>
      <c r="Q168" s="8"/>
      <c r="R168" s="8" t="s">
        <v>9</v>
      </c>
      <c r="S168" s="8" t="s">
        <v>9</v>
      </c>
    </row>
    <row r="169" spans="2:19">
      <c r="B169" s="8"/>
      <c r="C169" s="95">
        <v>252825</v>
      </c>
      <c r="D169" s="8" t="s">
        <v>211</v>
      </c>
      <c r="E169" s="8" t="s">
        <v>400</v>
      </c>
      <c r="F169" s="8"/>
      <c r="G169" s="8" t="s">
        <v>81</v>
      </c>
      <c r="H169" s="8" t="s">
        <v>20</v>
      </c>
      <c r="I169" s="8">
        <v>7</v>
      </c>
      <c r="J169" s="8">
        <v>7</v>
      </c>
      <c r="K169" s="8">
        <v>0</v>
      </c>
      <c r="L169" s="8">
        <v>2</v>
      </c>
      <c r="M169" s="8"/>
      <c r="N169" s="8"/>
      <c r="O169" s="8"/>
      <c r="P169" s="8"/>
      <c r="Q169" s="8" t="s">
        <v>83</v>
      </c>
      <c r="R169" s="8" t="s">
        <v>8</v>
      </c>
      <c r="S169" s="8" t="s">
        <v>8</v>
      </c>
    </row>
    <row r="170" spans="2:19">
      <c r="B170" s="8"/>
      <c r="C170" s="95">
        <v>252825</v>
      </c>
      <c r="D170" s="8" t="s">
        <v>211</v>
      </c>
      <c r="E170" s="8" t="s">
        <v>401</v>
      </c>
      <c r="F170" s="8"/>
      <c r="G170" s="8" t="s">
        <v>81</v>
      </c>
      <c r="H170" s="8" t="s">
        <v>18</v>
      </c>
      <c r="I170" s="8">
        <v>7</v>
      </c>
      <c r="J170" s="8">
        <v>7</v>
      </c>
      <c r="K170" s="8">
        <v>0</v>
      </c>
      <c r="L170" s="8">
        <v>2</v>
      </c>
      <c r="M170" s="8"/>
      <c r="N170" s="8"/>
      <c r="O170" s="8"/>
      <c r="P170" s="8"/>
      <c r="Q170" s="8"/>
      <c r="R170" s="8" t="s">
        <v>8</v>
      </c>
      <c r="S170" s="8" t="s">
        <v>8</v>
      </c>
    </row>
    <row r="171" spans="2:19">
      <c r="B171" s="8"/>
      <c r="C171" s="95">
        <v>252825</v>
      </c>
      <c r="D171" s="8" t="s">
        <v>211</v>
      </c>
      <c r="E171" s="8" t="s">
        <v>402</v>
      </c>
      <c r="F171" s="8"/>
      <c r="G171" s="8" t="s">
        <v>81</v>
      </c>
      <c r="H171" s="8" t="s">
        <v>18</v>
      </c>
      <c r="I171" s="8">
        <v>7</v>
      </c>
      <c r="J171" s="8">
        <v>7</v>
      </c>
      <c r="K171" s="8">
        <v>0</v>
      </c>
      <c r="L171" s="8">
        <v>2</v>
      </c>
      <c r="M171" s="8"/>
      <c r="N171" s="8"/>
      <c r="O171" s="8"/>
      <c r="P171" s="8"/>
      <c r="Q171" s="8"/>
      <c r="R171" s="8" t="s">
        <v>8</v>
      </c>
      <c r="S171" s="8" t="s">
        <v>8</v>
      </c>
    </row>
    <row r="172" spans="2:19">
      <c r="B172" s="8"/>
      <c r="C172" s="95">
        <v>252825</v>
      </c>
      <c r="D172" s="8" t="s">
        <v>211</v>
      </c>
      <c r="E172" s="8" t="s">
        <v>403</v>
      </c>
      <c r="F172" s="8"/>
      <c r="G172" s="8" t="s">
        <v>81</v>
      </c>
      <c r="H172" s="8" t="s">
        <v>7</v>
      </c>
      <c r="I172" s="8">
        <v>7</v>
      </c>
      <c r="J172" s="8">
        <v>7</v>
      </c>
      <c r="K172" s="8">
        <v>0</v>
      </c>
      <c r="L172" s="8">
        <v>2</v>
      </c>
      <c r="M172" s="8"/>
      <c r="N172" s="8"/>
      <c r="O172" s="8"/>
      <c r="P172" s="8"/>
      <c r="Q172" s="8"/>
      <c r="R172" s="8" t="s">
        <v>8</v>
      </c>
      <c r="S172" s="8" t="s">
        <v>8</v>
      </c>
    </row>
    <row r="173" spans="2:19">
      <c r="B173" s="8"/>
      <c r="C173" s="95">
        <v>252825</v>
      </c>
      <c r="D173" s="8" t="s">
        <v>211</v>
      </c>
      <c r="E173" s="8" t="s">
        <v>404</v>
      </c>
      <c r="F173" s="8"/>
      <c r="G173" s="8" t="s">
        <v>81</v>
      </c>
      <c r="H173" s="8" t="s">
        <v>20</v>
      </c>
      <c r="I173" s="8">
        <v>7</v>
      </c>
      <c r="J173" s="8">
        <v>7</v>
      </c>
      <c r="K173" s="8">
        <v>0</v>
      </c>
      <c r="L173" s="8">
        <v>2</v>
      </c>
      <c r="M173" s="8"/>
      <c r="N173" s="8"/>
      <c r="O173" s="8"/>
      <c r="P173" s="8"/>
      <c r="Q173" s="8"/>
      <c r="R173" s="8" t="s">
        <v>8</v>
      </c>
      <c r="S173" s="8" t="s">
        <v>8</v>
      </c>
    </row>
    <row r="174" spans="2:19">
      <c r="B174" s="8"/>
      <c r="C174" s="95">
        <v>252825</v>
      </c>
      <c r="D174" s="8" t="s">
        <v>211</v>
      </c>
      <c r="E174" s="8" t="s">
        <v>405</v>
      </c>
      <c r="F174" s="8"/>
      <c r="G174" s="8" t="s">
        <v>81</v>
      </c>
      <c r="H174" s="8" t="s">
        <v>20</v>
      </c>
      <c r="I174" s="8">
        <v>7</v>
      </c>
      <c r="J174" s="8">
        <v>7</v>
      </c>
      <c r="K174" s="8">
        <v>0</v>
      </c>
      <c r="L174" s="8">
        <v>2</v>
      </c>
      <c r="M174" s="8"/>
      <c r="N174" s="8"/>
      <c r="O174" s="8"/>
      <c r="P174" s="8"/>
      <c r="Q174" s="8"/>
      <c r="R174" s="8" t="s">
        <v>8</v>
      </c>
      <c r="S174" s="8" t="s">
        <v>8</v>
      </c>
    </row>
    <row r="175" spans="2:19">
      <c r="B175" s="8"/>
      <c r="C175" s="95">
        <v>252825</v>
      </c>
      <c r="D175" s="8" t="s">
        <v>211</v>
      </c>
      <c r="E175" s="8" t="s">
        <v>406</v>
      </c>
      <c r="F175" s="8"/>
      <c r="G175" s="8" t="s">
        <v>81</v>
      </c>
      <c r="H175" s="8" t="s">
        <v>7</v>
      </c>
      <c r="I175" s="8">
        <v>14</v>
      </c>
      <c r="J175" s="8">
        <v>4</v>
      </c>
      <c r="K175" s="8">
        <v>10</v>
      </c>
      <c r="L175" s="8">
        <v>2</v>
      </c>
      <c r="M175" s="8"/>
      <c r="N175" s="8"/>
      <c r="O175" s="8"/>
      <c r="P175" s="8"/>
      <c r="Q175" s="8" t="s">
        <v>340</v>
      </c>
      <c r="R175" s="8" t="s">
        <v>8</v>
      </c>
      <c r="S175" s="8" t="s">
        <v>8</v>
      </c>
    </row>
    <row r="176" spans="2:19">
      <c r="B176" s="8"/>
      <c r="C176" s="95">
        <v>252825</v>
      </c>
      <c r="D176" s="8" t="s">
        <v>211</v>
      </c>
      <c r="E176" s="8" t="s">
        <v>407</v>
      </c>
      <c r="F176" s="8"/>
      <c r="G176" s="8" t="s">
        <v>81</v>
      </c>
      <c r="H176" s="8" t="s">
        <v>20</v>
      </c>
      <c r="I176" s="8">
        <v>7</v>
      </c>
      <c r="J176" s="8">
        <v>7</v>
      </c>
      <c r="K176" s="8">
        <v>0</v>
      </c>
      <c r="L176" s="8">
        <v>2</v>
      </c>
      <c r="M176" s="8"/>
      <c r="N176" s="8"/>
      <c r="O176" s="8"/>
      <c r="P176" s="8"/>
      <c r="Q176" s="8" t="s">
        <v>83</v>
      </c>
      <c r="R176" s="8" t="s">
        <v>8</v>
      </c>
      <c r="S176" s="8" t="s">
        <v>8</v>
      </c>
    </row>
    <row r="177" spans="2:19">
      <c r="B177" s="8"/>
      <c r="C177" s="95">
        <v>252825</v>
      </c>
      <c r="D177" s="8" t="s">
        <v>211</v>
      </c>
      <c r="E177" s="8" t="s">
        <v>408</v>
      </c>
      <c r="F177" s="8"/>
      <c r="G177" s="8" t="s">
        <v>81</v>
      </c>
      <c r="H177" s="8" t="s">
        <v>7</v>
      </c>
      <c r="I177" s="8">
        <v>5</v>
      </c>
      <c r="J177" s="8">
        <v>5</v>
      </c>
      <c r="K177" s="8">
        <v>0</v>
      </c>
      <c r="L177" s="8">
        <v>2</v>
      </c>
      <c r="M177" s="8"/>
      <c r="N177" s="8"/>
      <c r="O177" s="8"/>
      <c r="P177" s="8"/>
      <c r="Q177" s="8"/>
      <c r="R177" s="8" t="s">
        <v>8</v>
      </c>
      <c r="S177" s="8" t="s">
        <v>8</v>
      </c>
    </row>
    <row r="178" spans="2:19">
      <c r="B178" s="8"/>
      <c r="C178" s="95">
        <v>252825</v>
      </c>
      <c r="D178" s="8" t="s">
        <v>211</v>
      </c>
      <c r="E178" s="8" t="s">
        <v>409</v>
      </c>
      <c r="F178" s="8"/>
      <c r="G178" s="8" t="s">
        <v>81</v>
      </c>
      <c r="H178" s="8" t="s">
        <v>18</v>
      </c>
      <c r="I178" s="8">
        <v>7</v>
      </c>
      <c r="J178" s="8">
        <v>7</v>
      </c>
      <c r="K178" s="8">
        <v>0</v>
      </c>
      <c r="L178" s="8">
        <v>2</v>
      </c>
      <c r="M178" s="8"/>
      <c r="N178" s="8"/>
      <c r="O178" s="8"/>
      <c r="P178" s="8"/>
      <c r="Q178" s="8"/>
      <c r="R178" s="8" t="s">
        <v>8</v>
      </c>
      <c r="S178" s="8" t="s">
        <v>8</v>
      </c>
    </row>
    <row r="179" spans="2:19">
      <c r="B179" s="8"/>
      <c r="C179" s="95">
        <v>252825</v>
      </c>
      <c r="D179" s="8" t="s">
        <v>211</v>
      </c>
      <c r="E179" s="8" t="s">
        <v>410</v>
      </c>
      <c r="F179" s="8"/>
      <c r="G179" s="8" t="s">
        <v>81</v>
      </c>
      <c r="H179" s="8" t="s">
        <v>20</v>
      </c>
      <c r="I179" s="8">
        <v>7</v>
      </c>
      <c r="J179" s="8">
        <v>7</v>
      </c>
      <c r="K179" s="8">
        <v>0</v>
      </c>
      <c r="L179" s="8">
        <v>2</v>
      </c>
      <c r="M179" s="8"/>
      <c r="N179" s="8"/>
      <c r="O179" s="8"/>
      <c r="P179" s="8"/>
      <c r="Q179" s="8"/>
      <c r="R179" s="8" t="s">
        <v>8</v>
      </c>
      <c r="S179" s="8" t="s">
        <v>8</v>
      </c>
    </row>
    <row r="180" spans="2:19">
      <c r="B180" s="8"/>
      <c r="C180" s="95">
        <v>252825</v>
      </c>
      <c r="D180" s="8" t="s">
        <v>211</v>
      </c>
      <c r="E180" s="8" t="s">
        <v>411</v>
      </c>
      <c r="F180" s="8"/>
      <c r="G180" s="8" t="s">
        <v>81</v>
      </c>
      <c r="H180" s="8" t="s">
        <v>20</v>
      </c>
      <c r="I180" s="8">
        <v>3</v>
      </c>
      <c r="J180" s="8">
        <v>3</v>
      </c>
      <c r="K180" s="8">
        <v>0</v>
      </c>
      <c r="L180" s="8">
        <v>2</v>
      </c>
      <c r="M180" s="8"/>
      <c r="N180" s="8"/>
      <c r="O180" s="8"/>
      <c r="P180" s="8"/>
      <c r="Q180" s="8"/>
      <c r="R180" s="8" t="s">
        <v>8</v>
      </c>
      <c r="S180" s="8" t="s">
        <v>8</v>
      </c>
    </row>
    <row r="181" spans="2:19">
      <c r="B181" s="8"/>
      <c r="C181" s="95">
        <v>252825</v>
      </c>
      <c r="D181" s="8" t="s">
        <v>211</v>
      </c>
      <c r="E181" s="8" t="s">
        <v>412</v>
      </c>
      <c r="F181" s="8"/>
      <c r="G181" s="8" t="s">
        <v>81</v>
      </c>
      <c r="H181" s="8" t="s">
        <v>18</v>
      </c>
      <c r="I181" s="8">
        <v>7</v>
      </c>
      <c r="J181" s="8">
        <v>7</v>
      </c>
      <c r="K181" s="8">
        <v>0</v>
      </c>
      <c r="L181" s="8">
        <v>2</v>
      </c>
      <c r="M181" s="8"/>
      <c r="N181" s="8"/>
      <c r="O181" s="8"/>
      <c r="P181" s="8"/>
      <c r="Q181" s="8"/>
      <c r="R181" s="8" t="s">
        <v>8</v>
      </c>
      <c r="S181" s="8" t="s">
        <v>8</v>
      </c>
    </row>
    <row r="182" spans="2:19">
      <c r="B182" s="8"/>
      <c r="C182" s="95">
        <v>252825</v>
      </c>
      <c r="D182" s="8" t="s">
        <v>211</v>
      </c>
      <c r="E182" s="8" t="s">
        <v>413</v>
      </c>
      <c r="F182" s="8"/>
      <c r="G182" s="8" t="s">
        <v>81</v>
      </c>
      <c r="H182" s="8" t="s">
        <v>22</v>
      </c>
      <c r="I182" s="8">
        <v>4</v>
      </c>
      <c r="J182" s="8">
        <v>3</v>
      </c>
      <c r="K182" s="8">
        <v>1</v>
      </c>
      <c r="L182" s="8">
        <v>2</v>
      </c>
      <c r="M182" s="8"/>
      <c r="N182" s="8"/>
      <c r="O182" s="8"/>
      <c r="P182" s="8"/>
      <c r="Q182" s="8" t="s">
        <v>340</v>
      </c>
      <c r="R182" s="8" t="s">
        <v>9</v>
      </c>
      <c r="S182" s="8" t="s">
        <v>9</v>
      </c>
    </row>
    <row r="183" spans="2:19">
      <c r="B183" s="8"/>
      <c r="C183" s="95">
        <v>262102</v>
      </c>
      <c r="D183" s="8" t="s">
        <v>211</v>
      </c>
      <c r="E183" s="8" t="s">
        <v>276</v>
      </c>
      <c r="F183" s="8"/>
      <c r="G183" s="8" t="s">
        <v>77</v>
      </c>
      <c r="H183" s="8" t="s">
        <v>14</v>
      </c>
      <c r="I183" s="8">
        <v>5</v>
      </c>
      <c r="J183" s="8">
        <v>5</v>
      </c>
      <c r="K183" s="8">
        <v>0</v>
      </c>
      <c r="L183" s="8">
        <v>2</v>
      </c>
      <c r="M183" s="8"/>
      <c r="N183" s="8"/>
      <c r="O183" s="8"/>
      <c r="P183" s="8"/>
      <c r="Q183" s="8"/>
      <c r="R183" s="8" t="s">
        <v>226</v>
      </c>
      <c r="S183" s="8" t="s">
        <v>15</v>
      </c>
    </row>
    <row r="184" spans="2:19">
      <c r="B184" s="8"/>
      <c r="C184" s="95">
        <v>260487</v>
      </c>
      <c r="D184" s="8" t="s">
        <v>211</v>
      </c>
      <c r="E184" s="8" t="s">
        <v>278</v>
      </c>
      <c r="F184" s="8"/>
      <c r="G184" s="8" t="s">
        <v>81</v>
      </c>
      <c r="H184" s="8" t="s">
        <v>14</v>
      </c>
      <c r="I184" s="8">
        <v>2</v>
      </c>
      <c r="J184" s="8">
        <v>0</v>
      </c>
      <c r="K184" s="8">
        <v>2</v>
      </c>
      <c r="L184" s="8">
        <v>2</v>
      </c>
      <c r="M184" s="8"/>
      <c r="N184" s="8"/>
      <c r="O184" s="8"/>
      <c r="P184" s="8"/>
      <c r="Q184" s="8"/>
      <c r="R184" s="8" t="s">
        <v>226</v>
      </c>
      <c r="S184" s="8" t="s">
        <v>15</v>
      </c>
    </row>
    <row r="185" spans="2:19">
      <c r="B185" s="8"/>
      <c r="C185" s="95">
        <v>263833</v>
      </c>
      <c r="D185" s="8" t="s">
        <v>211</v>
      </c>
      <c r="E185" s="8" t="s">
        <v>281</v>
      </c>
      <c r="F185" s="8"/>
      <c r="G185" s="8" t="s">
        <v>81</v>
      </c>
      <c r="H185" s="8" t="s">
        <v>217</v>
      </c>
      <c r="I185" s="8">
        <v>0</v>
      </c>
      <c r="J185" s="8">
        <v>7.08</v>
      </c>
      <c r="K185" s="8">
        <v>0</v>
      </c>
      <c r="L185" s="8">
        <v>2</v>
      </c>
      <c r="M185" s="8"/>
      <c r="N185" s="8"/>
      <c r="O185" s="8"/>
      <c r="P185" s="8"/>
      <c r="Q185" s="8"/>
      <c r="R185" s="8" t="s">
        <v>280</v>
      </c>
      <c r="S185" s="8" t="s">
        <v>9</v>
      </c>
    </row>
    <row r="186" spans="2:19">
      <c r="B186" s="8"/>
      <c r="C186" s="95">
        <v>263833</v>
      </c>
      <c r="D186" s="8" t="s">
        <v>211</v>
      </c>
      <c r="E186" s="8" t="s">
        <v>285</v>
      </c>
      <c r="F186" s="8"/>
      <c r="G186" s="8" t="s">
        <v>81</v>
      </c>
      <c r="H186" s="8" t="s">
        <v>22</v>
      </c>
      <c r="I186" s="8">
        <v>0</v>
      </c>
      <c r="J186" s="8">
        <v>11.02</v>
      </c>
      <c r="K186" s="8">
        <v>0</v>
      </c>
      <c r="L186" s="8">
        <v>2</v>
      </c>
      <c r="M186" s="8"/>
      <c r="N186" s="8"/>
      <c r="O186" s="8"/>
      <c r="P186" s="8"/>
      <c r="Q186" s="8"/>
      <c r="R186" s="8" t="s">
        <v>9</v>
      </c>
      <c r="S186" s="8" t="s">
        <v>9</v>
      </c>
    </row>
    <row r="187" spans="2:19">
      <c r="B187" s="8"/>
      <c r="C187" s="95">
        <v>263833</v>
      </c>
      <c r="D187" s="8" t="s">
        <v>211</v>
      </c>
      <c r="E187" s="8" t="s">
        <v>279</v>
      </c>
      <c r="F187" s="8"/>
      <c r="G187" s="8" t="s">
        <v>81</v>
      </c>
      <c r="H187" s="8" t="s">
        <v>7</v>
      </c>
      <c r="I187" s="8">
        <v>0</v>
      </c>
      <c r="J187" s="8">
        <v>47</v>
      </c>
      <c r="K187" s="8">
        <v>0</v>
      </c>
      <c r="L187" s="8">
        <v>2</v>
      </c>
      <c r="M187" s="8"/>
      <c r="N187" s="8"/>
      <c r="O187" s="8"/>
      <c r="P187" s="8"/>
      <c r="Q187" s="8"/>
      <c r="R187" s="8" t="s">
        <v>8</v>
      </c>
      <c r="S187" s="8" t="s">
        <v>8</v>
      </c>
    </row>
    <row r="188" spans="2:19">
      <c r="B188" s="8"/>
      <c r="C188" s="95">
        <v>263833</v>
      </c>
      <c r="D188" s="8" t="s">
        <v>211</v>
      </c>
      <c r="E188" s="8" t="s">
        <v>414</v>
      </c>
      <c r="F188" s="8"/>
      <c r="G188" s="8" t="s">
        <v>81</v>
      </c>
      <c r="H188" s="8" t="s">
        <v>16</v>
      </c>
      <c r="I188" s="8">
        <v>0</v>
      </c>
      <c r="J188" s="8">
        <v>22</v>
      </c>
      <c r="K188" s="8">
        <v>0</v>
      </c>
      <c r="L188" s="8">
        <v>2</v>
      </c>
      <c r="M188" s="8"/>
      <c r="N188" s="8"/>
      <c r="O188" s="8"/>
      <c r="P188" s="8"/>
      <c r="Q188" s="8"/>
      <c r="R188" s="8" t="s">
        <v>226</v>
      </c>
      <c r="S188" s="8" t="s">
        <v>13</v>
      </c>
    </row>
    <row r="189" spans="2:19">
      <c r="B189" s="8"/>
      <c r="C189" s="95">
        <v>263833</v>
      </c>
      <c r="D189" s="8" t="s">
        <v>211</v>
      </c>
      <c r="E189" s="8" t="s">
        <v>283</v>
      </c>
      <c r="F189" s="8"/>
      <c r="G189" s="8" t="s">
        <v>81</v>
      </c>
      <c r="H189" s="8" t="s">
        <v>20</v>
      </c>
      <c r="I189" s="8">
        <v>0</v>
      </c>
      <c r="J189" s="8">
        <v>21</v>
      </c>
      <c r="K189" s="8">
        <v>0</v>
      </c>
      <c r="L189" s="8">
        <v>2</v>
      </c>
      <c r="M189" s="8"/>
      <c r="N189" s="8"/>
      <c r="O189" s="8"/>
      <c r="P189" s="8"/>
      <c r="Q189" s="8"/>
      <c r="R189" s="8" t="s">
        <v>8</v>
      </c>
      <c r="S189" s="8" t="s">
        <v>8</v>
      </c>
    </row>
    <row r="190" spans="2:19">
      <c r="B190" s="8"/>
      <c r="C190" s="95">
        <v>263833</v>
      </c>
      <c r="D190" s="8" t="s">
        <v>211</v>
      </c>
      <c r="E190" s="8" t="s">
        <v>415</v>
      </c>
      <c r="F190" s="8"/>
      <c r="G190" s="8" t="s">
        <v>81</v>
      </c>
      <c r="H190" s="8" t="s">
        <v>14</v>
      </c>
      <c r="I190" s="8">
        <v>10</v>
      </c>
      <c r="J190" s="8">
        <v>9</v>
      </c>
      <c r="K190" s="8">
        <v>1</v>
      </c>
      <c r="L190" s="8">
        <v>2</v>
      </c>
      <c r="M190" s="8"/>
      <c r="N190" s="8"/>
      <c r="O190" s="8"/>
      <c r="P190" s="8"/>
      <c r="Q190" s="8"/>
      <c r="R190" s="8" t="s">
        <v>280</v>
      </c>
      <c r="S190" s="8" t="s">
        <v>15</v>
      </c>
    </row>
    <row r="191" spans="2:19">
      <c r="B191" s="8"/>
      <c r="C191" s="95">
        <v>263833</v>
      </c>
      <c r="D191" s="8" t="s">
        <v>211</v>
      </c>
      <c r="E191" s="8" t="s">
        <v>284</v>
      </c>
      <c r="F191" s="8"/>
      <c r="G191" s="8" t="s">
        <v>81</v>
      </c>
      <c r="H191" s="8" t="s">
        <v>18</v>
      </c>
      <c r="I191" s="8">
        <v>0</v>
      </c>
      <c r="J191" s="8">
        <v>14</v>
      </c>
      <c r="K191" s="8">
        <v>0</v>
      </c>
      <c r="L191" s="8">
        <v>2</v>
      </c>
      <c r="M191" s="8"/>
      <c r="N191" s="8"/>
      <c r="O191" s="8"/>
      <c r="P191" s="8"/>
      <c r="Q191" s="8"/>
      <c r="R191" s="8" t="s">
        <v>8</v>
      </c>
      <c r="S191" s="8" t="s">
        <v>8</v>
      </c>
    </row>
    <row r="192" spans="2:19">
      <c r="B192" s="8"/>
      <c r="C192" s="95">
        <v>263833</v>
      </c>
      <c r="D192" s="8" t="s">
        <v>211</v>
      </c>
      <c r="E192" s="8" t="s">
        <v>416</v>
      </c>
      <c r="F192" s="8"/>
      <c r="G192" s="8" t="s">
        <v>81</v>
      </c>
      <c r="H192" s="8" t="s">
        <v>23</v>
      </c>
      <c r="I192" s="8">
        <v>0</v>
      </c>
      <c r="J192" s="8">
        <v>13.67</v>
      </c>
      <c r="K192" s="8">
        <v>0</v>
      </c>
      <c r="L192" s="8">
        <v>2</v>
      </c>
      <c r="M192" s="8"/>
      <c r="N192" s="8"/>
      <c r="O192" s="8"/>
      <c r="P192" s="8"/>
      <c r="Q192" s="8"/>
      <c r="R192" s="8" t="s">
        <v>280</v>
      </c>
      <c r="S192" s="8" t="s">
        <v>9</v>
      </c>
    </row>
    <row r="193" spans="2:19">
      <c r="B193" s="8"/>
      <c r="C193" s="95">
        <v>263833</v>
      </c>
      <c r="D193" s="8" t="s">
        <v>211</v>
      </c>
      <c r="E193" s="8" t="s">
        <v>282</v>
      </c>
      <c r="F193" s="8"/>
      <c r="G193" s="8" t="s">
        <v>81</v>
      </c>
      <c r="H193" s="8" t="s">
        <v>10</v>
      </c>
      <c r="I193" s="8">
        <v>0</v>
      </c>
      <c r="J193" s="8">
        <v>16</v>
      </c>
      <c r="K193" s="8">
        <v>0</v>
      </c>
      <c r="L193" s="8">
        <v>2</v>
      </c>
      <c r="M193" s="8"/>
      <c r="N193" s="8"/>
      <c r="O193" s="8"/>
      <c r="P193" s="8"/>
      <c r="Q193" s="8"/>
      <c r="R193" s="8" t="s">
        <v>8</v>
      </c>
      <c r="S193" s="8" t="s">
        <v>13</v>
      </c>
    </row>
  </sheetData>
  <hyperlinks>
    <hyperlink ref="C22" r:id="rId1" display="https://youxelteam.visualstudio.com/CheckNow/_workitems/edit/260177/?view=edit" xr:uid="{37072B9C-37F2-5144-A6A6-7D4512D82E72}"/>
    <hyperlink ref="C23" r:id="rId2" display="https://youxelteam.visualstudio.com/CheckNow/_workitems/edit/260177/?view=edit" xr:uid="{503F3216-6C73-BB41-8318-ECC76B20830A}"/>
    <hyperlink ref="C24" r:id="rId3" display="https://youxelteam.visualstudio.com/CheckNow/_workitems/edit/251892/?view=edit" xr:uid="{73CC3CE9-C13A-7545-82A0-A42F34FE267D}"/>
    <hyperlink ref="C25" r:id="rId4" display="https://youxelteam.visualstudio.com/CheckNow/_workitems/edit/251892/?view=edit" xr:uid="{EB5EE435-A8B2-5A4E-9F16-C5FD83FD9B4B}"/>
    <hyperlink ref="C26" r:id="rId5" display="https://youxelteam.visualstudio.com/CheckNow/_workitems/edit/233816/?view=edit" xr:uid="{985B6437-99AD-5D4C-94FD-0C769C59922B}"/>
    <hyperlink ref="C27" r:id="rId6" display="https://youxelteam.visualstudio.com/CheckNow/_workitems/edit/233934/?view=edit" xr:uid="{53239485-EAE4-1640-893D-E46496AF0B82}"/>
    <hyperlink ref="C28" r:id="rId7" display="https://youxelteam.visualstudio.com/CheckNow/_workitems/edit/255495/?view=edit" xr:uid="{1CF069B7-693E-DC48-A0F1-45ED0E8BF505}"/>
    <hyperlink ref="C29" r:id="rId8" display="https://youxelteam.visualstudio.com/CheckNow/_workitems/edit/255495/?view=edit" xr:uid="{1AEFEFF4-32B4-574A-A166-B99333F4E840}"/>
    <hyperlink ref="C30" r:id="rId9" display="https://youxelteam.visualstudio.com/CheckNow/_workitems/edit/250832/?view=edit" xr:uid="{A8970FFC-3CC3-D94B-866F-FD39C3FCB32A}"/>
    <hyperlink ref="C31" r:id="rId10" display="https://youxelteam.visualstudio.com/CheckNow/_workitems/edit/250832/?view=edit" xr:uid="{AC482AF4-9AB8-A94D-83D5-8BA853EE781B}"/>
    <hyperlink ref="C32" r:id="rId11" display="https://youxelteam.visualstudio.com/CheckNow/_workitems/edit/250832/?view=edit" xr:uid="{411B4984-6D8D-224A-96ED-30161235E33F}"/>
    <hyperlink ref="C33" r:id="rId12" display="https://youxelteam.visualstudio.com/CheckNow/_workitems/edit/250832/?view=edit" xr:uid="{6A42AA43-B1B7-DB4A-B93A-80AEF6DF0891}"/>
    <hyperlink ref="C34" r:id="rId13" display="https://youxelteam.visualstudio.com/CheckNow/_workitems/edit/250832/?view=edit" xr:uid="{2D69B20D-4557-394F-BBE7-97A754ABF25A}"/>
    <hyperlink ref="C35" r:id="rId14" display="https://youxelteam.visualstudio.com/CheckNow/_workitems/edit/250832/?view=edit" xr:uid="{4DBF15F0-0DE7-3740-A682-6692CD63A5C5}"/>
    <hyperlink ref="C36" r:id="rId15" display="https://youxelteam.visualstudio.com/CheckNow/_workitems/edit/250832/?view=edit" xr:uid="{1790DF9E-3048-1745-923C-937467C5B989}"/>
    <hyperlink ref="C37" r:id="rId16" display="https://youxelteam.visualstudio.com/CheckNow/_workitems/edit/250832/?view=edit" xr:uid="{AB70F7F8-0C8F-9043-B4BC-4DB6F1436A5E}"/>
    <hyperlink ref="C38" r:id="rId17" display="https://youxelteam.visualstudio.com/CheckNow/_workitems/edit/250832/?view=edit" xr:uid="{651CB0F9-ED83-1745-ADE1-45E5471E0FC3}"/>
    <hyperlink ref="C39" r:id="rId18" display="https://youxelteam.visualstudio.com/CheckNow/_workitems/edit/250832/?view=edit" xr:uid="{480F904F-601E-D74C-872B-525B7A5EB1DF}"/>
    <hyperlink ref="C40" r:id="rId19" display="https://youxelteam.visualstudio.com/CheckNow/_workitems/edit/250832/?view=edit" xr:uid="{F61C1BC6-BF33-CA49-B496-A178A89158AD}"/>
    <hyperlink ref="C41" r:id="rId20" display="https://youxelteam.visualstudio.com/CheckNow/_workitems/edit/250832/?view=edit" xr:uid="{A63220AE-E1BF-8348-A7B5-BCCC1E731DBC}"/>
    <hyperlink ref="C42" r:id="rId21" display="https://youxelteam.visualstudio.com/CheckNow/_workitems/edit/250832/?view=edit" xr:uid="{54AAE9B6-D9A5-5B4F-B673-DBA415AB0D10}"/>
    <hyperlink ref="C43" r:id="rId22" display="https://youxelteam.visualstudio.com/CheckNow/_workitems/edit/250832/?view=edit" xr:uid="{5A957486-5B17-6643-B653-DDCC6F98ABAF}"/>
    <hyperlink ref="C44" r:id="rId23" display="https://youxelteam.visualstudio.com/CheckNow/_workitems/edit/250832/?view=edit" xr:uid="{BCD3B99F-9347-6E4C-AA08-963A1246B04A}"/>
    <hyperlink ref="C45" r:id="rId24" display="https://youxelteam.visualstudio.com/CheckNow/_workitems/edit/250832/?view=edit" xr:uid="{975D4C88-A451-C949-AF0A-6578FF1FF8CE}"/>
    <hyperlink ref="C46" r:id="rId25" display="https://youxelteam.visualstudio.com/CheckNow/_workitems/edit/250832/?view=edit" xr:uid="{BDA7F580-F41E-CF40-BBCF-E65B72A2961D}"/>
    <hyperlink ref="C47" r:id="rId26" display="https://youxelteam.visualstudio.com/CheckNow/_workitems/edit/250832/?view=edit" xr:uid="{FADE7354-A060-214A-AD37-FC8F9CFAB8DA}"/>
    <hyperlink ref="C48" r:id="rId27" display="https://youxelteam.visualstudio.com/CheckNow/_workitems/edit/250832/?view=edit" xr:uid="{5B32BFE6-49B5-024D-A86B-9F3AD32C8183}"/>
    <hyperlink ref="C49" r:id="rId28" display="https://youxelteam.visualstudio.com/CheckNow/_workitems/edit/250832/?view=edit" xr:uid="{509A5576-99EC-C543-B7AA-EEF73D42D6A2}"/>
    <hyperlink ref="C50" r:id="rId29" display="https://youxelteam.visualstudio.com/CheckNow/_workitems/edit/250832/?view=edit" xr:uid="{5DD5AE5B-CB87-9A4C-A6BF-C670BE076877}"/>
    <hyperlink ref="C51" r:id="rId30" display="https://youxelteam.visualstudio.com/CheckNow/_workitems/edit/250832/?view=edit" xr:uid="{F696AB17-08B9-2540-B0BF-154E99E42CDB}"/>
    <hyperlink ref="C52" r:id="rId31" display="https://youxelteam.visualstudio.com/CheckNow/_workitems/edit/250832/?view=edit" xr:uid="{35886A0C-0AD4-B444-BD29-3591B05C2AC6}"/>
    <hyperlink ref="C53" r:id="rId32" display="https://youxelteam.visualstudio.com/CheckNow/_workitems/edit/250832/?view=edit" xr:uid="{51FB5AE1-7029-C640-BD1D-99C814AD75F4}"/>
    <hyperlink ref="C54" r:id="rId33" display="https://youxelteam.visualstudio.com/CheckNow/_workitems/edit/250832/?view=edit" xr:uid="{16F19BB1-135C-D848-9F1F-9909A04CAA54}"/>
    <hyperlink ref="C55" r:id="rId34" display="https://youxelteam.visualstudio.com/CheckNow/_workitems/edit/242628/?view=edit" xr:uid="{D170ABA8-9205-C747-B0D3-4AE158BF42CF}"/>
    <hyperlink ref="C56" r:id="rId35" display="https://youxelteam.visualstudio.com/CheckNow/_workitems/edit/242628/?view=edit" xr:uid="{B459955A-15CA-454E-B52B-BA15662C4539}"/>
    <hyperlink ref="C57" r:id="rId36" display="https://youxelteam.visualstudio.com/CheckNow/_workitems/edit/242628/?view=edit" xr:uid="{BF212C85-2DE1-AE40-97B1-31F9DB59FA71}"/>
    <hyperlink ref="C58" r:id="rId37" display="https://youxelteam.visualstudio.com/CheckNow/_workitems/edit/242628/?view=edit" xr:uid="{3C0C10CA-4297-FE41-897E-57DD2423025C}"/>
    <hyperlink ref="C59" r:id="rId38" display="https://youxelteam.visualstudio.com/CheckNow/_workitems/edit/242628/?view=edit" xr:uid="{2EE7980F-7818-3347-BB8B-7918881E53A9}"/>
    <hyperlink ref="C60" r:id="rId39" display="https://youxelteam.visualstudio.com/CheckNow/_workitems/edit/242628/?view=edit" xr:uid="{5A1772A7-2CE7-3E42-8A8B-4C2E315CF25B}"/>
    <hyperlink ref="C61" r:id="rId40" display="https://youxelteam.visualstudio.com/CheckNow/_workitems/edit/242628/?view=edit" xr:uid="{110C4534-6C7C-824A-A7BE-D725BCF42AFE}"/>
    <hyperlink ref="C62" r:id="rId41" display="https://youxelteam.visualstudio.com/CheckNow/_workitems/edit/247747/?view=edit" xr:uid="{246D2504-E426-F04C-B50E-CB7CD68A9089}"/>
    <hyperlink ref="C63" r:id="rId42" display="https://youxelteam.visualstudio.com/CheckNow/_workitems/edit/247747/?view=edit" xr:uid="{AB6A0AB4-130A-6643-AE05-6E282D8A7B42}"/>
    <hyperlink ref="C64" r:id="rId43" display="https://youxelteam.visualstudio.com/CheckNow/_workitems/edit/247748/?view=edit" xr:uid="{DDDE9C41-194E-B94B-8574-F4FBD9BDD4C5}"/>
    <hyperlink ref="C65" r:id="rId44" display="https://youxelteam.visualstudio.com/CheckNow/_workitems/edit/247748/?view=edit" xr:uid="{303E76E8-182D-EC43-8069-437E7BA636DA}"/>
    <hyperlink ref="C66" r:id="rId45" display="https://youxelteam.visualstudio.com/CheckNow/_workitems/edit/244767/?view=edit" xr:uid="{12B4F783-3C67-E049-A71D-E32553882209}"/>
    <hyperlink ref="C67" r:id="rId46" display="https://youxelteam.visualstudio.com/CheckNow/_workitems/edit/244767/?view=edit" xr:uid="{87A1E450-2C8D-3B4D-BC5A-32892D95BCFC}"/>
    <hyperlink ref="C68" r:id="rId47" display="https://youxelteam.visualstudio.com/CheckNow/_workitems/edit/244767/?view=edit" xr:uid="{ECA414A2-017A-D242-83A8-43359AA886A1}"/>
    <hyperlink ref="C69" r:id="rId48" display="https://youxelteam.visualstudio.com/CheckNow/_workitems/edit/244767/?view=edit" xr:uid="{58DE9B40-D064-A54C-9CAB-F5ACEA47BF1D}"/>
    <hyperlink ref="C70" r:id="rId49" display="https://youxelteam.visualstudio.com/CheckNow/_workitems/edit/244767/?view=edit" xr:uid="{264CFD5B-212E-9645-BAF1-769F2A537A43}"/>
    <hyperlink ref="C71" r:id="rId50" display="https://youxelteam.visualstudio.com/CheckNow/_workitems/edit/244767/?view=edit" xr:uid="{339565C3-466B-C14B-9CDE-A748F3E915D8}"/>
    <hyperlink ref="C72" r:id="rId51" display="https://youxelteam.visualstudio.com/CheckNow/_workitems/edit/244767/?view=edit" xr:uid="{0D5DD223-32FA-C34B-8365-18845A67D9CB}"/>
    <hyperlink ref="C73" r:id="rId52" display="https://youxelteam.visualstudio.com/CheckNow/_workitems/edit/244767/?view=edit" xr:uid="{4C0F52AE-3804-A64D-9AA0-D3AA5F1B4C36}"/>
    <hyperlink ref="C74" r:id="rId53" display="https://youxelteam.visualstudio.com/CheckNow/_workitems/edit/244764/?view=edit" xr:uid="{30116EE3-CBFE-9845-86F4-F3326B4299A1}"/>
    <hyperlink ref="C75" r:id="rId54" display="https://youxelteam.visualstudio.com/CheckNow/_workitems/edit/244764/?view=edit" xr:uid="{8557C649-30E6-0E42-BC9F-51215856A91E}"/>
    <hyperlink ref="C76" r:id="rId55" display="https://youxelteam.visualstudio.com/CheckNow/_workitems/edit/244770/?view=edit" xr:uid="{3ACC28D0-3112-7D4D-AEF8-9C83FEF48527}"/>
    <hyperlink ref="C77" r:id="rId56" display="https://youxelteam.visualstudio.com/CheckNow/_workitems/edit/244770/?view=edit" xr:uid="{90925EB1-3E52-1E48-AC6F-1E29BFE2AF8E}"/>
    <hyperlink ref="C78" r:id="rId57" display="https://youxelteam.visualstudio.com/CheckNow/_workitems/edit/242629/?view=edit" xr:uid="{7B4490C2-D0C4-FE49-8D97-B0BF8BE47C9F}"/>
    <hyperlink ref="C79" r:id="rId58" display="https://youxelteam.visualstudio.com/CheckNow/_workitems/edit/242629/?view=edit" xr:uid="{1D5F2D94-3418-9746-936A-49E085938C35}"/>
    <hyperlink ref="C80" r:id="rId59" display="https://youxelteam.visualstudio.com/CheckNow/_workitems/edit/242629/?view=edit" xr:uid="{50E41569-9329-9B4A-9389-33F36DD67567}"/>
    <hyperlink ref="C81" r:id="rId60" display="https://youxelteam.visualstudio.com/CheckNow/_workitems/edit/242629/?view=edit" xr:uid="{EF0CE2E1-4AD8-394F-AED2-CFBB12082537}"/>
    <hyperlink ref="C82" r:id="rId61" display="https://youxelteam.visualstudio.com/CheckNow/_workitems/edit/244768/?view=edit" xr:uid="{00C97994-92F3-864B-BF25-6E381264EDC5}"/>
    <hyperlink ref="C83" r:id="rId62" display="https://youxelteam.visualstudio.com/CheckNow/_workitems/edit/244768/?view=edit" xr:uid="{3F0252D0-4654-F246-94BD-3E2FA4624721}"/>
    <hyperlink ref="C84" r:id="rId63" display="https://youxelteam.visualstudio.com/CheckNow/_workitems/edit/244768/?view=edit" xr:uid="{8F965BFA-C351-454B-AF41-053575F33C1C}"/>
    <hyperlink ref="C85" r:id="rId64" display="https://youxelteam.visualstudio.com/CheckNow/_workitems/edit/244768/?view=edit" xr:uid="{BDDAB2CA-B074-2C40-B5B7-AA6E76A3BAF3}"/>
    <hyperlink ref="C86" r:id="rId65" display="https://youxelteam.visualstudio.com/CheckNow/_workitems/edit/244768/?view=edit" xr:uid="{7E55FA44-CBCE-044B-B94B-CB8EDDB0400A}"/>
    <hyperlink ref="C87" r:id="rId66" display="https://youxelteam.visualstudio.com/CheckNow/_workitems/edit/244768/?view=edit" xr:uid="{F2B1E1C6-CCF2-4147-9E7B-B8ABD795D703}"/>
    <hyperlink ref="C88" r:id="rId67" display="https://youxelteam.visualstudio.com/CheckNow/_workitems/edit/244768/?view=edit" xr:uid="{1B33124A-3F4D-4D44-BB61-12E76C16B650}"/>
    <hyperlink ref="C89" r:id="rId68" display="https://youxelteam.visualstudio.com/CheckNow/_workitems/edit/244768/?view=edit" xr:uid="{B819F3FC-4C73-E248-8B4A-4BE1440B6162}"/>
    <hyperlink ref="C90" r:id="rId69" display="https://youxelteam.visualstudio.com/CheckNow/_workitems/edit/244768/?view=edit" xr:uid="{8EBEFEB0-E211-054E-ABFF-4D80B434888D}"/>
    <hyperlink ref="C91" r:id="rId70" display="https://youxelteam.visualstudio.com/CheckNow/_workitems/edit/244772/?view=edit" xr:uid="{63F7B890-3B5E-294C-ABCD-C7C0316A493B}"/>
    <hyperlink ref="C92" r:id="rId71" display="https://youxelteam.visualstudio.com/CheckNow/_workitems/edit/244772/?view=edit" xr:uid="{71926D9E-C078-4E47-8608-F79820DBD41D}"/>
    <hyperlink ref="C93" r:id="rId72" display="https://youxelteam.visualstudio.com/CheckNow/_workitems/edit/244756/?view=edit" xr:uid="{CF2BE6E1-93E1-674C-AC57-F8631F4D70B4}"/>
    <hyperlink ref="C94" r:id="rId73" display="https://youxelteam.visualstudio.com/CheckNow/_workitems/edit/244756/?view=edit" xr:uid="{ECBD3D60-C998-B641-924F-011F59B8E59C}"/>
    <hyperlink ref="C95" r:id="rId74" display="https://youxelteam.visualstudio.com/CheckNow/_workitems/edit/244756/?view=edit" xr:uid="{D392BDF7-4D6E-384C-9C42-05DE4A71278A}"/>
    <hyperlink ref="C96" r:id="rId75" display="https://youxelteam.visualstudio.com/CheckNow/_workitems/edit/244761/?view=edit" xr:uid="{94A48598-FF48-4C42-96EF-EE93F17E82ED}"/>
    <hyperlink ref="C97" r:id="rId76" display="https://youxelteam.visualstudio.com/CheckNow/_workitems/edit/244761/?view=edit" xr:uid="{366A38EE-5308-CB4F-80FE-08EB4BF3D815}"/>
    <hyperlink ref="C98" r:id="rId77" display="https://youxelteam.visualstudio.com/CheckNow/_workitems/edit/244761/?view=edit" xr:uid="{D4FBC63E-661D-A849-A617-986D5B62CA0C}"/>
    <hyperlink ref="C99" r:id="rId78" display="https://youxelteam.visualstudio.com/CheckNow/_workitems/edit/244761/?view=edit" xr:uid="{35D0CE27-CC5C-7F47-8CE9-4DFED97DDE5C}"/>
    <hyperlink ref="C100" r:id="rId79" display="https://youxelteam.visualstudio.com/CheckNow/_workitems/edit/244761/?view=edit" xr:uid="{DE46B2CB-0CB5-CA49-A657-E8EDC57B203E}"/>
    <hyperlink ref="C101" r:id="rId80" display="https://youxelteam.visualstudio.com/CheckNow/_workitems/edit/244761/?view=edit" xr:uid="{23086962-5B50-9948-9AF2-7DC0A9F6F50F}"/>
    <hyperlink ref="C102" r:id="rId81" display="https://youxelteam.visualstudio.com/CheckNow/_workitems/edit/244757/?view=edit" xr:uid="{CDA1B71C-CB79-4E42-A40B-C8E153C5C164}"/>
    <hyperlink ref="C103" r:id="rId82" display="https://youxelteam.visualstudio.com/CheckNow/_workitems/edit/244757/?view=edit" xr:uid="{27416426-1839-E14B-B915-CD0496EF76FA}"/>
    <hyperlink ref="C104" r:id="rId83" display="https://youxelteam.visualstudio.com/CheckNow/_workitems/edit/244758/?view=edit" xr:uid="{F6BD9641-4D46-654F-80DC-4AC3DDA3065D}"/>
    <hyperlink ref="C105" r:id="rId84" display="https://youxelteam.visualstudio.com/CheckNow/_workitems/edit/244758/?view=edit" xr:uid="{5FB550B4-BC43-A84D-BF3D-BCEFA450A895}"/>
    <hyperlink ref="C106" r:id="rId85" display="https://youxelteam.visualstudio.com/CheckNow/_workitems/edit/244758/?view=edit" xr:uid="{4E1E15B6-0E25-BF47-9739-7F26A4DC140C}"/>
    <hyperlink ref="C107" r:id="rId86" display="https://youxelteam.visualstudio.com/CheckNow/_workitems/edit/263534/?view=edit" xr:uid="{4D59F820-6145-E24D-8174-7E4349145012}"/>
    <hyperlink ref="C108" r:id="rId87" display="https://youxelteam.visualstudio.com/CheckNow/_workitems/edit/263534/?view=edit" xr:uid="{4C75B47B-6152-134A-AEA0-155E2CE7DB09}"/>
    <hyperlink ref="C109" r:id="rId88" display="https://youxelteam.visualstudio.com/CheckNow/_workitems/edit/263534/?view=edit" xr:uid="{6B99E738-4378-544A-9279-49F159117A46}"/>
    <hyperlink ref="C110" r:id="rId89" display="https://youxelteam.visualstudio.com/CheckNow/_workitems/edit/263834/?view=edit" xr:uid="{2B465986-A4E4-7C4B-8AC0-7BF415B13057}"/>
    <hyperlink ref="C111" r:id="rId90" display="https://youxelteam.visualstudio.com/CheckNow/_workitems/edit/263834/?view=edit" xr:uid="{06E6DE3A-C61E-6143-9D2A-C2356CDB8505}"/>
    <hyperlink ref="C112" r:id="rId91" display="https://youxelteam.visualstudio.com/CheckNow/_workitems/edit/263834/?view=edit" xr:uid="{0312A96C-47B8-2140-80C8-832B90C83091}"/>
    <hyperlink ref="C113" r:id="rId92" display="https://youxelteam.visualstudio.com/CheckNow/_workitems/edit/263834/?view=edit" xr:uid="{E02D35B1-1EB5-2D49-8F06-E88564276B10}"/>
    <hyperlink ref="C114" r:id="rId93" display="https://youxelteam.visualstudio.com/CheckNow/_workitems/edit/264506/?view=edit" xr:uid="{64CBDB10-74E9-6B41-A123-D5F213C919AE}"/>
    <hyperlink ref="C115" r:id="rId94" display="https://youxelteam.visualstudio.com/CheckNow/_workitems/edit/264506/?view=edit" xr:uid="{18FA6B29-6B77-F049-9161-5C5CD8082714}"/>
    <hyperlink ref="C116" r:id="rId95" display="https://youxelteam.visualstudio.com/CheckNow/_workitems/edit/247302/?view=edit" xr:uid="{58199B67-6889-5544-B32A-47186BB3EFE8}"/>
    <hyperlink ref="C117" r:id="rId96" display="https://youxelteam.visualstudio.com/CheckNow/_workitems/edit/247302/?view=edit" xr:uid="{1374FDE1-B021-DC40-8447-94DF9E749EA5}"/>
    <hyperlink ref="C118" r:id="rId97" display="https://youxelteam.visualstudio.com/CheckNow/_workitems/edit/253676/?view=edit" xr:uid="{9D4A7619-AA1E-734B-A6A1-4E073892CB83}"/>
    <hyperlink ref="C119" r:id="rId98" display="https://youxelteam.visualstudio.com/CheckNow/_workitems/edit/253676/?view=edit" xr:uid="{3BAB8E90-9B8B-D046-BFC7-6280064634AA}"/>
    <hyperlink ref="C120" r:id="rId99" display="https://youxelteam.visualstudio.com/CheckNow/_workitems/edit/253676/?view=edit" xr:uid="{36E251FA-FB85-1D49-9DBC-A8FB0EF022BC}"/>
    <hyperlink ref="C121" r:id="rId100" display="https://youxelteam.visualstudio.com/CheckNow/_workitems/edit/253676/?view=edit" xr:uid="{BC7AA093-F06D-F244-8CE0-B63B912809F3}"/>
    <hyperlink ref="C122" r:id="rId101" display="https://youxelteam.visualstudio.com/CheckNow/_workitems/edit/247303/?view=edit" xr:uid="{9760CE4C-7FBC-364C-BA3B-E7E527C8E578}"/>
    <hyperlink ref="C123" r:id="rId102" display="https://youxelteam.visualstudio.com/CheckNow/_workitems/edit/247304/?view=edit" xr:uid="{CF9D7565-64F5-8D48-80BA-4AA4BF013FDC}"/>
    <hyperlink ref="C124" r:id="rId103" display="https://youxelteam.visualstudio.com/CheckNow/_workitems/edit/247305/?view=edit" xr:uid="{EDFF3DBC-DE3F-0B4A-AB7B-4C2495A64CF0}"/>
    <hyperlink ref="C125" r:id="rId104" display="https://youxelteam.visualstudio.com/CheckNow/_workitems/edit/247306/?view=edit" xr:uid="{E5F5E5A4-8F55-E54C-AD1D-DE89F7C13C9D}"/>
    <hyperlink ref="C126" r:id="rId105" display="https://youxelteam.visualstudio.com/CheckNow/_workitems/edit/247322/?view=edit" xr:uid="{4BAA71F7-2A86-FE45-B912-63AF0CD28847}"/>
    <hyperlink ref="C127" r:id="rId106" display="https://youxelteam.visualstudio.com/CheckNow/_workitems/edit/247321/?view=edit" xr:uid="{ACE323F2-201C-6C4F-AF40-B9C2762B2D7F}"/>
    <hyperlink ref="C128" r:id="rId107" display="https://youxelteam.visualstudio.com/CheckNow/_workitems/edit/247324/?view=edit" xr:uid="{BFAF25AC-98D4-8A48-8C1C-4B0ECA9E9D25}"/>
    <hyperlink ref="C129" r:id="rId108" display="https://youxelteam.visualstudio.com/CheckNow/_workitems/edit/247323/?view=edit" xr:uid="{C1321E7F-C2BF-7943-BDDD-1EA33B9335CC}"/>
    <hyperlink ref="C130" r:id="rId109" display="https://youxelteam.visualstudio.com/CheckNow/_workitems/edit/247308/?view=edit" xr:uid="{83FDC291-02FE-B640-83A2-F6F57D2AFD53}"/>
    <hyperlink ref="C131" r:id="rId110" display="https://youxelteam.visualstudio.com/CheckNow/_workitems/edit/247315/?view=edit" xr:uid="{5122FFFF-85FD-1643-AA38-82E64498F160}"/>
    <hyperlink ref="C132" r:id="rId111" display="https://youxelteam.visualstudio.com/CheckNow/_workitems/edit/247313/?view=edit" xr:uid="{008C2E00-D7E7-E348-9F11-4E84EBDC42EF}"/>
    <hyperlink ref="C133" r:id="rId112" display="https://youxelteam.visualstudio.com/CheckNow/_workitems/edit/247314/?view=edit" xr:uid="{8A80714A-5452-FB4D-BE20-522FE7A90FFD}"/>
    <hyperlink ref="C134" r:id="rId113" display="https://youxelteam.visualstudio.com/CheckNow/_workitems/edit/247316/?view=edit" xr:uid="{067A9633-3964-1E44-9F1E-4973902341AC}"/>
    <hyperlink ref="C135" r:id="rId114" display="https://youxelteam.visualstudio.com/CheckNow/_workitems/edit/247312/?view=edit" xr:uid="{7F6EB9F5-4B0C-A44B-AE71-378CAE47BCFA}"/>
    <hyperlink ref="C136" r:id="rId115" display="https://youxelteam.visualstudio.com/CheckNow/_workitems/edit/247312/?view=edit" xr:uid="{777D0E63-0FEE-FE4D-9A6D-B88FD6CFCE09}"/>
    <hyperlink ref="C137" r:id="rId116" display="https://youxelteam.visualstudio.com/CheckNow/_workitems/edit/247310/?view=edit" xr:uid="{B878BB16-0C26-0148-B9FC-CC41971C77AC}"/>
    <hyperlink ref="C138" r:id="rId117" display="https://youxelteam.visualstudio.com/CheckNow/_workitems/edit/247310/?view=edit" xr:uid="{36E9969A-3265-B446-A6B9-6CB7AF4D12BB}"/>
    <hyperlink ref="C139" r:id="rId118" display="https://youxelteam.visualstudio.com/CheckNow/_workitems/edit/247310/?view=edit" xr:uid="{00FF10DF-1B25-2945-9375-E3CD89CAF30E}"/>
    <hyperlink ref="C140" r:id="rId119" display="https://youxelteam.visualstudio.com/CheckNow/_workitems/edit/247319/?view=edit" xr:uid="{CD883C06-1F41-B643-9B23-CF343F213931}"/>
    <hyperlink ref="C141" r:id="rId120" display="https://youxelteam.visualstudio.com/CheckNow/_workitems/edit/247311/?view=edit" xr:uid="{45BDBDA1-1AB3-3044-BB30-2FB7390DFDCD}"/>
    <hyperlink ref="C142" r:id="rId121" display="https://youxelteam.visualstudio.com/CheckNow/_workitems/edit/252836/?view=edit" xr:uid="{829078B8-833F-B641-8201-806CAA947FED}"/>
    <hyperlink ref="C143" r:id="rId122" display="https://youxelteam.visualstudio.com/CheckNow/_workitems/edit/252836/?view=edit" xr:uid="{923E9B2A-7161-744E-A098-5CB019420785}"/>
    <hyperlink ref="C144" r:id="rId123" display="https://youxelteam.visualstudio.com/CheckNow/_workitems/edit/252836/?view=edit" xr:uid="{CFC18396-53E2-E545-B643-7BD697C1E9F1}"/>
    <hyperlink ref="C145" r:id="rId124" display="https://youxelteam.visualstudio.com/CheckNow/_workitems/edit/252836/?view=edit" xr:uid="{F48ACF72-CF04-9548-B8B2-51774F8D56F9}"/>
    <hyperlink ref="C146" r:id="rId125" display="https://youxelteam.visualstudio.com/CheckNow/_workitems/edit/264492/?view=edit" xr:uid="{36551696-8444-8B4C-ABB6-AB6AD4175D08}"/>
    <hyperlink ref="C147" r:id="rId126" display="https://youxelteam.visualstudio.com/CheckNow/_workitems/edit/264492/?view=edit" xr:uid="{3886B0E4-DCBE-BF43-9DAE-FBC7E0DFC5A0}"/>
    <hyperlink ref="C148" r:id="rId127" display="https://youxelteam.visualstudio.com/CheckNow/_workitems/edit/264492/?view=edit" xr:uid="{ECA172A8-9F08-B04C-9432-34DAB9674CB6}"/>
    <hyperlink ref="C149" r:id="rId128" display="https://youxelteam.visualstudio.com/CheckNow/_workitems/edit/264492/?view=edit" xr:uid="{06309694-48BC-7D46-8691-201DF2C7FAD6}"/>
    <hyperlink ref="C150" r:id="rId129" display="https://youxelteam.visualstudio.com/CheckNow/_workitems/edit/264492/?view=edit" xr:uid="{B5D221F1-08FE-C14F-8198-2D3AEB04B1C4}"/>
    <hyperlink ref="C151" r:id="rId130" display="https://youxelteam.visualstudio.com/CheckNow/_workitems/edit/264492/?view=edit" xr:uid="{DE3CA6BD-CDA4-B646-925D-79934A0611CE}"/>
    <hyperlink ref="C152" r:id="rId131" display="https://youxelteam.visualstudio.com/CheckNow/_workitems/edit/264494/?view=edit" xr:uid="{01E2A993-5FFC-2B46-87ED-2AF81D055E92}"/>
    <hyperlink ref="C153" r:id="rId132" display="https://youxelteam.visualstudio.com/CheckNow/_workitems/edit/264494/?view=edit" xr:uid="{5B07DB54-BCDF-C249-B76B-DF8007120CB1}"/>
    <hyperlink ref="C154" r:id="rId133" display="https://youxelteam.visualstudio.com/CheckNow/_workitems/edit/252825/?view=edit" xr:uid="{690175A7-B70E-5945-A371-D7F5AA292133}"/>
    <hyperlink ref="C155" r:id="rId134" display="https://youxelteam.visualstudio.com/CheckNow/_workitems/edit/252825/?view=edit" xr:uid="{AEDBFC55-8F47-1743-A32D-991960D49FA5}"/>
    <hyperlink ref="C156" r:id="rId135" display="https://youxelteam.visualstudio.com/CheckNow/_workitems/edit/252825/?view=edit" xr:uid="{DFD4DA34-B827-6247-A212-D3CC08709EF9}"/>
    <hyperlink ref="C157" r:id="rId136" display="https://youxelteam.visualstudio.com/CheckNow/_workitems/edit/252825/?view=edit" xr:uid="{F8B6DC32-7D91-AC41-B845-655EBAEC1E0F}"/>
    <hyperlink ref="C158" r:id="rId137" display="https://youxelteam.visualstudio.com/CheckNow/_workitems/edit/252825/?view=edit" xr:uid="{DA760ECA-D3EA-6046-A4C2-FA523B9B20D3}"/>
    <hyperlink ref="C159" r:id="rId138" display="https://youxelteam.visualstudio.com/CheckNow/_workitems/edit/252825/?view=edit" xr:uid="{3CDDEFAE-827C-D94A-9273-EDB5F6BB2878}"/>
    <hyperlink ref="C160" r:id="rId139" display="https://youxelteam.visualstudio.com/CheckNow/_workitems/edit/252825/?view=edit" xr:uid="{1680415D-24A4-3F4B-8627-4351EF31E126}"/>
    <hyperlink ref="C161" r:id="rId140" display="https://youxelteam.visualstudio.com/CheckNow/_workitems/edit/252825/?view=edit" xr:uid="{C0BC8CCF-D775-FD43-AFE0-E476476AA609}"/>
    <hyperlink ref="C162" r:id="rId141" display="https://youxelteam.visualstudio.com/CheckNow/_workitems/edit/252825/?view=edit" xr:uid="{062F4955-7369-1446-B300-3351F9A111D8}"/>
    <hyperlink ref="C163" r:id="rId142" display="https://youxelteam.visualstudio.com/CheckNow/_workitems/edit/252825/?view=edit" xr:uid="{E5781F67-393C-E244-B4E3-8DCA2C9E6097}"/>
    <hyperlink ref="C164" r:id="rId143" display="https://youxelteam.visualstudio.com/CheckNow/_workitems/edit/252825/?view=edit" xr:uid="{BA7CA105-5F8C-7F44-B7C4-43F28C455D17}"/>
    <hyperlink ref="C165" r:id="rId144" display="https://youxelteam.visualstudio.com/CheckNow/_workitems/edit/252825/?view=edit" xr:uid="{D70214A9-79B6-7042-8046-73B37B61CFCF}"/>
    <hyperlink ref="C166" r:id="rId145" display="https://youxelteam.visualstudio.com/CheckNow/_workitems/edit/252825/?view=edit" xr:uid="{6C8C24DB-2AEB-7546-97DB-3F209052A826}"/>
    <hyperlink ref="C167" r:id="rId146" display="https://youxelteam.visualstudio.com/CheckNow/_workitems/edit/252825/?view=edit" xr:uid="{8BA54FEC-05C9-5444-BA39-4089809D0BA5}"/>
    <hyperlink ref="C168" r:id="rId147" display="https://youxelteam.visualstudio.com/CheckNow/_workitems/edit/252825/?view=edit" xr:uid="{B5B3CB7B-EC87-C74C-BC73-D76B6DCFC86E}"/>
    <hyperlink ref="C169" r:id="rId148" display="https://youxelteam.visualstudio.com/CheckNow/_workitems/edit/252825/?view=edit" xr:uid="{74EB4DB0-70AE-1042-BA1C-A937B8835F87}"/>
    <hyperlink ref="C170" r:id="rId149" display="https://youxelteam.visualstudio.com/CheckNow/_workitems/edit/252825/?view=edit" xr:uid="{D4D5751C-3539-2A47-BF16-75C91C24AD07}"/>
    <hyperlink ref="C171" r:id="rId150" display="https://youxelteam.visualstudio.com/CheckNow/_workitems/edit/252825/?view=edit" xr:uid="{6BD2690D-4DE2-4B45-8916-00A988CF3DF5}"/>
    <hyperlink ref="C172" r:id="rId151" display="https://youxelteam.visualstudio.com/CheckNow/_workitems/edit/252825/?view=edit" xr:uid="{9964CB52-4611-4145-BA27-0AC0A6C74E13}"/>
    <hyperlink ref="C173" r:id="rId152" display="https://youxelteam.visualstudio.com/CheckNow/_workitems/edit/252825/?view=edit" xr:uid="{BD101614-FC76-EB40-9141-072739EA1CE9}"/>
    <hyperlink ref="C174" r:id="rId153" display="https://youxelteam.visualstudio.com/CheckNow/_workitems/edit/252825/?view=edit" xr:uid="{9C96F93D-CA12-1F4B-9299-DF6B2AD7E819}"/>
    <hyperlink ref="C175" r:id="rId154" display="https://youxelteam.visualstudio.com/CheckNow/_workitems/edit/252825/?view=edit" xr:uid="{3C407F81-DB15-E54B-BE40-F6C94ECAE1C0}"/>
    <hyperlink ref="C176" r:id="rId155" display="https://youxelteam.visualstudio.com/CheckNow/_workitems/edit/252825/?view=edit" xr:uid="{4FD8C103-A8E9-E846-86FB-EC7A8FE985D0}"/>
    <hyperlink ref="C177" r:id="rId156" display="https://youxelteam.visualstudio.com/CheckNow/_workitems/edit/252825/?view=edit" xr:uid="{A23B4032-1288-014D-82A4-CD548ABBA8B0}"/>
    <hyperlink ref="C178" r:id="rId157" display="https://youxelteam.visualstudio.com/CheckNow/_workitems/edit/252825/?view=edit" xr:uid="{947D85AF-77AC-A74B-8666-FDE7A362B603}"/>
    <hyperlink ref="C179" r:id="rId158" display="https://youxelteam.visualstudio.com/CheckNow/_workitems/edit/252825/?view=edit" xr:uid="{7902FB70-374A-ED48-9A33-0067A605D1F3}"/>
    <hyperlink ref="C180" r:id="rId159" display="https://youxelteam.visualstudio.com/CheckNow/_workitems/edit/252825/?view=edit" xr:uid="{1F6FA70A-B29D-944E-99CA-7ACE7F5EA0AA}"/>
    <hyperlink ref="C181" r:id="rId160" display="https://youxelteam.visualstudio.com/CheckNow/_workitems/edit/252825/?view=edit" xr:uid="{F8AEB9E3-2A4E-B241-A8D6-7D8BE135DAF7}"/>
    <hyperlink ref="C182" r:id="rId161" display="https://youxelteam.visualstudio.com/CheckNow/_workitems/edit/252825/?view=edit" xr:uid="{5DBE4EBE-FC6B-2749-9BF5-7493EABBA096}"/>
    <hyperlink ref="C183" r:id="rId162" display="https://youxelteam.visualstudio.com/CheckNow/_workitems/edit/262102/?view=edit" xr:uid="{59B93010-A619-BB48-9599-558871E2CC25}"/>
    <hyperlink ref="C184" r:id="rId163" display="https://youxelteam.visualstudio.com/CheckNow/_workitems/edit/260487/?view=edit" xr:uid="{7A31F50C-BB69-FF43-BB6C-3BBD98EDE59B}"/>
    <hyperlink ref="C185" r:id="rId164" display="https://youxelteam.visualstudio.com/CheckNow/_workitems/edit/263833/?view=edit" xr:uid="{FBEEB493-B25B-C440-AE67-0AE7932AF6C5}"/>
    <hyperlink ref="C186" r:id="rId165" display="https://youxelteam.visualstudio.com/CheckNow/_workitems/edit/263833/?view=edit" xr:uid="{132CEAFF-643B-FA47-8F60-6CA1EE12CFA6}"/>
    <hyperlink ref="C187" r:id="rId166" display="https://youxelteam.visualstudio.com/CheckNow/_workitems/edit/263833/?view=edit" xr:uid="{DEC6A5AB-C52C-FA40-8C1D-30BE51E648FB}"/>
    <hyperlink ref="C188" r:id="rId167" display="https://youxelteam.visualstudio.com/CheckNow/_workitems/edit/263833/?view=edit" xr:uid="{11A3201F-54F8-A74E-881A-1FCE79B1B49F}"/>
    <hyperlink ref="C189" r:id="rId168" display="https://youxelteam.visualstudio.com/CheckNow/_workitems/edit/263833/?view=edit" xr:uid="{1F14D2EF-24DB-F84D-BC2E-FE2948396AEF}"/>
    <hyperlink ref="C190" r:id="rId169" display="https://youxelteam.visualstudio.com/CheckNow/_workitems/edit/263833/?view=edit" xr:uid="{2473C1C7-3080-0F4C-8A07-400263D0159D}"/>
    <hyperlink ref="C191" r:id="rId170" display="https://youxelteam.visualstudio.com/CheckNow/_workitems/edit/263833/?view=edit" xr:uid="{DFD2D8FF-E436-6E49-B84E-7063BA977B5A}"/>
    <hyperlink ref="C192" r:id="rId171" display="https://youxelteam.visualstudio.com/CheckNow/_workitems/edit/263833/?view=edit" xr:uid="{25BFE188-6017-6247-8321-B1254F91EC1F}"/>
    <hyperlink ref="C193" r:id="rId172" display="https://youxelteam.visualstudio.com/CheckNow/_workitems/edit/263833/?view=edit" xr:uid="{DC0823A5-7303-224B-B475-A0C7DE36A8F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BCA2-8B21-B646-A7DA-D776FA0783C8}">
  <dimension ref="B2:G31"/>
  <sheetViews>
    <sheetView workbookViewId="0">
      <selection activeCell="G26" sqref="G26"/>
    </sheetView>
  </sheetViews>
  <sheetFormatPr baseColWidth="10" defaultColWidth="44.1640625" defaultRowHeight="15"/>
  <cols>
    <col min="1" max="1" width="11" customWidth="1"/>
    <col min="2" max="2" width="31.83203125" bestFit="1" customWidth="1"/>
    <col min="3" max="3" width="71.5" bestFit="1" customWidth="1"/>
    <col min="4" max="4" width="43.33203125" bestFit="1" customWidth="1"/>
    <col min="5" max="5" width="12.6640625" bestFit="1" customWidth="1"/>
    <col min="6" max="6" width="21" bestFit="1" customWidth="1"/>
  </cols>
  <sheetData>
    <row r="2" spans="2:7" ht="16">
      <c r="B2" s="119" t="s">
        <v>462</v>
      </c>
    </row>
    <row r="3" spans="2:7" ht="16">
      <c r="B3" s="114" t="s">
        <v>96</v>
      </c>
      <c r="C3" s="114" t="s">
        <v>97</v>
      </c>
      <c r="D3" s="114" t="s">
        <v>98</v>
      </c>
      <c r="E3" s="114" t="s">
        <v>99</v>
      </c>
      <c r="F3" s="114" t="s">
        <v>100</v>
      </c>
    </row>
    <row r="4" spans="2:7" ht="32">
      <c r="B4" s="19" t="s">
        <v>291</v>
      </c>
      <c r="C4" s="5" t="s">
        <v>101</v>
      </c>
      <c r="D4" s="5" t="s">
        <v>102</v>
      </c>
      <c r="E4" s="5" t="s">
        <v>103</v>
      </c>
      <c r="F4" s="5" t="s">
        <v>104</v>
      </c>
    </row>
    <row r="5" spans="2:7" ht="32">
      <c r="B5" s="19" t="s">
        <v>105</v>
      </c>
      <c r="C5" s="20" t="s">
        <v>106</v>
      </c>
      <c r="D5" s="5" t="s">
        <v>107</v>
      </c>
      <c r="E5" s="5" t="s">
        <v>108</v>
      </c>
      <c r="F5" s="5" t="s">
        <v>109</v>
      </c>
    </row>
    <row r="6" spans="2:7" ht="48">
      <c r="B6" s="12" t="s">
        <v>110</v>
      </c>
      <c r="C6" s="5" t="s">
        <v>111</v>
      </c>
      <c r="D6" s="5" t="s">
        <v>112</v>
      </c>
      <c r="E6" s="5" t="s">
        <v>108</v>
      </c>
      <c r="F6" s="5" t="s">
        <v>113</v>
      </c>
    </row>
    <row r="7" spans="2:7" ht="32">
      <c r="B7" s="5" t="s">
        <v>86</v>
      </c>
      <c r="C7" s="5" t="s">
        <v>114</v>
      </c>
      <c r="D7" s="5" t="s">
        <v>115</v>
      </c>
      <c r="E7" s="5" t="s">
        <v>116</v>
      </c>
      <c r="F7" s="5" t="s">
        <v>117</v>
      </c>
    </row>
    <row r="8" spans="2:7" ht="32">
      <c r="B8" s="5" t="s">
        <v>176</v>
      </c>
      <c r="C8" s="5" t="s">
        <v>119</v>
      </c>
      <c r="D8" s="5" t="s">
        <v>120</v>
      </c>
      <c r="E8" s="5" t="s">
        <v>108</v>
      </c>
      <c r="F8" s="5" t="s">
        <v>121</v>
      </c>
    </row>
    <row r="9" spans="2:7" ht="32">
      <c r="B9" s="21" t="s">
        <v>122</v>
      </c>
      <c r="C9" s="21" t="s">
        <v>123</v>
      </c>
      <c r="D9" s="22" t="s">
        <v>124</v>
      </c>
      <c r="E9" s="21" t="s">
        <v>108</v>
      </c>
      <c r="F9" s="21" t="s">
        <v>125</v>
      </c>
    </row>
    <row r="11" spans="2:7" ht="16">
      <c r="B11" s="16" t="s">
        <v>171</v>
      </c>
      <c r="C11" s="16" t="s">
        <v>172</v>
      </c>
      <c r="D11" s="16" t="s">
        <v>173</v>
      </c>
      <c r="E11" s="16" t="s">
        <v>174</v>
      </c>
      <c r="F11" s="16" t="s">
        <v>146</v>
      </c>
      <c r="G11" s="16" t="s">
        <v>175</v>
      </c>
    </row>
    <row r="12" spans="2:7">
      <c r="B12" s="8" t="s">
        <v>418</v>
      </c>
      <c r="C12" s="8" t="s">
        <v>426</v>
      </c>
      <c r="D12" s="8"/>
      <c r="E12" s="92"/>
      <c r="F12" s="8" t="s">
        <v>427</v>
      </c>
      <c r="G12" s="8"/>
    </row>
    <row r="13" spans="2:7">
      <c r="B13" s="8" t="s">
        <v>428</v>
      </c>
      <c r="C13" s="8" t="s">
        <v>429</v>
      </c>
      <c r="D13" s="8"/>
      <c r="E13" s="92"/>
      <c r="F13" s="8" t="s">
        <v>430</v>
      </c>
      <c r="G13" s="8"/>
    </row>
    <row r="14" spans="2:7">
      <c r="B14" s="8" t="s">
        <v>110</v>
      </c>
      <c r="C14" s="8" t="s">
        <v>431</v>
      </c>
      <c r="D14" s="8"/>
      <c r="E14" s="92"/>
      <c r="F14" s="8" t="s">
        <v>113</v>
      </c>
      <c r="G14" s="8"/>
    </row>
    <row r="15" spans="2:7">
      <c r="B15" s="8" t="s">
        <v>86</v>
      </c>
      <c r="C15" s="8" t="s">
        <v>422</v>
      </c>
      <c r="D15" s="8"/>
      <c r="E15" s="8"/>
      <c r="F15" s="8" t="s">
        <v>433</v>
      </c>
      <c r="G15" s="8"/>
    </row>
    <row r="16" spans="2:7">
      <c r="B16" s="8" t="s">
        <v>176</v>
      </c>
      <c r="C16" s="8" t="s">
        <v>434</v>
      </c>
      <c r="D16" s="8"/>
      <c r="E16" s="92"/>
      <c r="F16" s="8" t="s">
        <v>435</v>
      </c>
      <c r="G16" s="8"/>
    </row>
    <row r="17" spans="2:7">
      <c r="B17" s="8" t="s">
        <v>424</v>
      </c>
      <c r="C17" s="8" t="s">
        <v>436</v>
      </c>
      <c r="D17" s="8"/>
      <c r="E17" s="92"/>
      <c r="F17" s="8" t="s">
        <v>437</v>
      </c>
      <c r="G17" s="8"/>
    </row>
    <row r="19" spans="2:7" ht="48">
      <c r="B19" s="16" t="s">
        <v>127</v>
      </c>
      <c r="C19" s="16" t="s">
        <v>131</v>
      </c>
      <c r="D19" s="16" t="s">
        <v>130</v>
      </c>
      <c r="E19" s="16" t="s">
        <v>129</v>
      </c>
    </row>
    <row r="20" spans="2:7">
      <c r="B20" s="26" t="s">
        <v>7</v>
      </c>
      <c r="C20" s="26">
        <v>26</v>
      </c>
      <c r="D20" s="26">
        <v>63</v>
      </c>
      <c r="E20" s="26">
        <v>10</v>
      </c>
      <c r="F20" s="120" t="s">
        <v>463</v>
      </c>
    </row>
    <row r="21" spans="2:7">
      <c r="B21" s="26" t="s">
        <v>10</v>
      </c>
      <c r="C21" s="26">
        <v>56.5</v>
      </c>
      <c r="D21" s="26">
        <v>90</v>
      </c>
      <c r="E21" s="26">
        <v>9</v>
      </c>
    </row>
    <row r="22" spans="2:7">
      <c r="B22" s="26" t="s">
        <v>12</v>
      </c>
      <c r="C22" s="26">
        <v>12</v>
      </c>
      <c r="D22" s="26">
        <v>14</v>
      </c>
      <c r="E22" s="26">
        <v>1</v>
      </c>
    </row>
    <row r="23" spans="2:7">
      <c r="B23" s="26" t="s">
        <v>14</v>
      </c>
      <c r="C23" s="26">
        <v>97</v>
      </c>
      <c r="D23" s="26">
        <v>99.5</v>
      </c>
      <c r="E23" s="26">
        <v>7</v>
      </c>
    </row>
    <row r="24" spans="2:7">
      <c r="B24" s="26" t="s">
        <v>16</v>
      </c>
      <c r="C24" s="26">
        <v>48</v>
      </c>
      <c r="D24" s="26">
        <v>77</v>
      </c>
      <c r="E24" s="26">
        <v>0.5</v>
      </c>
    </row>
    <row r="25" spans="2:7">
      <c r="B25" s="26" t="s">
        <v>18</v>
      </c>
      <c r="C25" s="26">
        <v>94</v>
      </c>
      <c r="D25" s="26">
        <v>104</v>
      </c>
      <c r="E25" s="26">
        <v>0</v>
      </c>
    </row>
    <row r="26" spans="2:7">
      <c r="B26" s="26" t="s">
        <v>20</v>
      </c>
      <c r="C26" s="26">
        <v>64</v>
      </c>
      <c r="D26" s="26">
        <v>85</v>
      </c>
      <c r="E26" s="26">
        <v>0</v>
      </c>
    </row>
    <row r="27" spans="2:7">
      <c r="B27" s="26" t="s">
        <v>217</v>
      </c>
      <c r="C27" s="26">
        <v>64</v>
      </c>
      <c r="D27" s="26">
        <v>111.83</v>
      </c>
      <c r="E27" s="26">
        <v>9.25</v>
      </c>
    </row>
    <row r="28" spans="2:7">
      <c r="B28" s="26" t="s">
        <v>21</v>
      </c>
      <c r="C28" s="26">
        <v>49</v>
      </c>
      <c r="D28" s="26">
        <v>31</v>
      </c>
      <c r="E28" s="26">
        <v>18.5</v>
      </c>
    </row>
    <row r="29" spans="2:7">
      <c r="B29" s="26" t="s">
        <v>22</v>
      </c>
      <c r="C29" s="26">
        <v>89</v>
      </c>
      <c r="D29" s="26">
        <v>109.92</v>
      </c>
      <c r="E29" s="26">
        <v>6.5</v>
      </c>
    </row>
    <row r="30" spans="2:7">
      <c r="B30" s="26" t="s">
        <v>23</v>
      </c>
      <c r="C30" s="26">
        <v>66.5</v>
      </c>
      <c r="D30" s="26">
        <v>90.710000000000008</v>
      </c>
      <c r="E30" s="26">
        <v>3.75</v>
      </c>
    </row>
    <row r="31" spans="2:7" ht="16">
      <c r="B31" s="16" t="s">
        <v>128</v>
      </c>
      <c r="C31" s="33">
        <f>SUM(C20:C30)</f>
        <v>666</v>
      </c>
      <c r="D31" s="33">
        <f t="shared" ref="D31:E31" si="0">SUM(D20:D30)</f>
        <v>875.96</v>
      </c>
      <c r="E31" s="33">
        <f t="shared" si="0"/>
        <v>65.5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FA8A-9569-334D-A3C7-18AE4E110AA6}">
  <dimension ref="B2:V56"/>
  <sheetViews>
    <sheetView topLeftCell="A15" workbookViewId="0">
      <selection activeCell="S29" sqref="S29"/>
    </sheetView>
  </sheetViews>
  <sheetFormatPr baseColWidth="10" defaultRowHeight="15"/>
  <cols>
    <col min="1" max="1" width="3" customWidth="1"/>
    <col min="2" max="2" width="42.83203125" bestFit="1" customWidth="1"/>
    <col min="3" max="3" width="14.1640625" bestFit="1" customWidth="1"/>
    <col min="4" max="5" width="15.1640625" bestFit="1" customWidth="1"/>
    <col min="6" max="6" width="15.1640625" customWidth="1"/>
    <col min="7" max="7" width="15.1640625" bestFit="1" customWidth="1"/>
    <col min="8" max="11" width="15.1640625" customWidth="1"/>
    <col min="12" max="12" width="5.83203125" customWidth="1"/>
    <col min="13" max="13" width="42.83203125" bestFit="1" customWidth="1"/>
    <col min="14" max="14" width="15.1640625" bestFit="1" customWidth="1"/>
    <col min="15" max="15" width="15.1640625" customWidth="1"/>
    <col min="16" max="16" width="15.1640625" bestFit="1" customWidth="1"/>
    <col min="17" max="17" width="15.1640625" customWidth="1"/>
    <col min="18" max="18" width="15.1640625" bestFit="1" customWidth="1"/>
    <col min="19" max="22" width="15.1640625" customWidth="1"/>
    <col min="23" max="23" width="15.1640625" bestFit="1" customWidth="1"/>
  </cols>
  <sheetData>
    <row r="2" spans="2:13" ht="16">
      <c r="B2" s="73" t="s">
        <v>157</v>
      </c>
    </row>
    <row r="3" spans="2:13" ht="16">
      <c r="B3" s="74" t="s">
        <v>158</v>
      </c>
      <c r="C3" s="74" t="s">
        <v>147</v>
      </c>
      <c r="D3" s="74" t="s">
        <v>148</v>
      </c>
      <c r="E3" s="74" t="s">
        <v>149</v>
      </c>
      <c r="F3" s="74" t="s">
        <v>150</v>
      </c>
      <c r="G3" s="74" t="s">
        <v>151</v>
      </c>
      <c r="H3" s="74" t="s">
        <v>85</v>
      </c>
      <c r="I3" s="74" t="s">
        <v>126</v>
      </c>
      <c r="J3" s="74" t="s">
        <v>178</v>
      </c>
      <c r="K3" s="74" t="s">
        <v>302</v>
      </c>
    </row>
    <row r="4" spans="2:13" ht="16">
      <c r="B4" s="4" t="s">
        <v>7</v>
      </c>
      <c r="C4" s="43">
        <v>0.46085714285714285</v>
      </c>
      <c r="D4" s="43">
        <v>1.0578922716627635</v>
      </c>
      <c r="E4" s="75">
        <v>0.98841379310344823</v>
      </c>
      <c r="F4" s="75">
        <v>1.0757575757575757</v>
      </c>
      <c r="G4" s="75">
        <v>1.0725</v>
      </c>
      <c r="H4" s="75">
        <v>0.65370639534883712</v>
      </c>
      <c r="I4" s="75">
        <v>0.94960317460317456</v>
      </c>
      <c r="J4" s="75">
        <v>1.0228571428571429</v>
      </c>
      <c r="K4" s="75">
        <f>'Kpi Indicators'!I3</f>
        <v>0.87123287671232874</v>
      </c>
    </row>
    <row r="5" spans="2:13" ht="16">
      <c r="B5" s="4" t="s">
        <v>10</v>
      </c>
      <c r="C5" s="43">
        <v>0.34911660079051382</v>
      </c>
      <c r="D5" s="43">
        <v>0.99610389610389605</v>
      </c>
      <c r="E5" s="75">
        <v>0.82329959514170037</v>
      </c>
      <c r="F5" s="75">
        <v>0.97324041811846684</v>
      </c>
      <c r="G5" s="75">
        <v>0.94160997732426299</v>
      </c>
      <c r="H5" s="75">
        <v>0.84953819283916365</v>
      </c>
      <c r="I5" s="75">
        <v>0.9314954051796156</v>
      </c>
      <c r="J5" s="75">
        <v>0.70691268191268186</v>
      </c>
      <c r="K5" s="75">
        <f>'Kpi Indicators'!I4</f>
        <v>0.81699855699855695</v>
      </c>
    </row>
    <row r="6" spans="2:13" ht="16">
      <c r="B6" s="4" t="s">
        <v>12</v>
      </c>
      <c r="C6" s="43">
        <v>0.6825740714981221</v>
      </c>
      <c r="D6" s="43">
        <v>0.63793560606060606</v>
      </c>
      <c r="E6" s="75">
        <v>0.76103296391020181</v>
      </c>
      <c r="F6" s="75">
        <v>0.9194033356824054</v>
      </c>
      <c r="G6" s="75">
        <v>0.8900219298245613</v>
      </c>
      <c r="H6" s="75">
        <v>0.9005988943488944</v>
      </c>
      <c r="I6" s="75">
        <v>0.89747474747474754</v>
      </c>
      <c r="J6" s="75">
        <v>0.62873134328358204</v>
      </c>
      <c r="K6" s="75">
        <f>'Kpi Indicators'!I5</f>
        <v>0.89888888888888885</v>
      </c>
    </row>
    <row r="7" spans="2:13">
      <c r="B7" s="7" t="s">
        <v>14</v>
      </c>
      <c r="C7" s="43" t="s">
        <v>159</v>
      </c>
      <c r="D7" s="43" t="s">
        <v>159</v>
      </c>
      <c r="E7" s="43" t="s">
        <v>159</v>
      </c>
      <c r="F7" s="43" t="s">
        <v>159</v>
      </c>
      <c r="G7" s="43" t="s">
        <v>159</v>
      </c>
      <c r="H7" s="75">
        <v>0.88979047619047624</v>
      </c>
      <c r="I7" s="75">
        <v>0.97796992481203004</v>
      </c>
      <c r="J7" s="75">
        <v>0.89605320791297161</v>
      </c>
      <c r="K7" s="75">
        <f>'Kpi Indicators'!I6</f>
        <v>1.0009691482226692</v>
      </c>
    </row>
    <row r="8" spans="2:13" ht="16">
      <c r="B8" s="4" t="s">
        <v>16</v>
      </c>
      <c r="C8" s="43">
        <v>0.54751013787510139</v>
      </c>
      <c r="D8" s="43">
        <v>0.73974358974358978</v>
      </c>
      <c r="E8" s="75">
        <v>0.71913438682245812</v>
      </c>
      <c r="F8" s="75">
        <v>0.79759999999999998</v>
      </c>
      <c r="G8" s="75">
        <v>0.74878228179143502</v>
      </c>
      <c r="H8" s="75">
        <v>0.82031746031746033</v>
      </c>
      <c r="I8" s="75">
        <v>0.96374175138220086</v>
      </c>
      <c r="J8" s="75">
        <v>0.94367063492063485</v>
      </c>
      <c r="K8" s="75">
        <f>'Kpi Indicators'!I7</f>
        <v>0.93387096774193545</v>
      </c>
    </row>
    <row r="9" spans="2:13" ht="16">
      <c r="B9" s="4" t="s">
        <v>18</v>
      </c>
      <c r="C9" s="43">
        <v>0.91147048960429244</v>
      </c>
      <c r="D9" s="43">
        <v>0.58264159596422838</v>
      </c>
      <c r="E9" s="75">
        <v>1.0437029789084584</v>
      </c>
      <c r="F9" s="75">
        <v>1.0634054325955735</v>
      </c>
      <c r="G9" s="75">
        <v>1.0433862433862435</v>
      </c>
      <c r="H9" s="75">
        <v>1.0234252297410191</v>
      </c>
      <c r="I9" s="75">
        <v>1.0468944099378881</v>
      </c>
      <c r="J9" s="75">
        <v>0.98509006598894233</v>
      </c>
      <c r="K9" s="75">
        <f>'Kpi Indicators'!I8</f>
        <v>1.0664835164835165</v>
      </c>
    </row>
    <row r="10" spans="2:13" ht="16">
      <c r="B10" s="4" t="s">
        <v>20</v>
      </c>
      <c r="C10" s="43">
        <v>0.57038085509995629</v>
      </c>
      <c r="D10" s="43">
        <v>0.991543513957307</v>
      </c>
      <c r="E10" s="75">
        <v>0.94244200244200238</v>
      </c>
      <c r="F10" s="75">
        <v>1.0023809523809524</v>
      </c>
      <c r="G10" s="75">
        <v>1.1216666666666666</v>
      </c>
      <c r="H10" s="75">
        <v>0.96282608695652172</v>
      </c>
      <c r="I10" s="75">
        <v>0.95533769063180829</v>
      </c>
      <c r="J10" s="75">
        <v>0.97772397094430996</v>
      </c>
      <c r="K10" s="75">
        <f>'Kpi Indicators'!I9</f>
        <v>0.97201680672268909</v>
      </c>
    </row>
    <row r="11" spans="2:13" ht="16">
      <c r="B11" s="4" t="s">
        <v>217</v>
      </c>
      <c r="C11" s="43" t="s">
        <v>159</v>
      </c>
      <c r="D11" s="43" t="s">
        <v>159</v>
      </c>
      <c r="E11" s="43" t="s">
        <v>159</v>
      </c>
      <c r="F11" s="43" t="s">
        <v>159</v>
      </c>
      <c r="G11" s="43" t="s">
        <v>159</v>
      </c>
      <c r="H11" s="43" t="s">
        <v>159</v>
      </c>
      <c r="I11" s="43" t="s">
        <v>159</v>
      </c>
      <c r="J11" s="75">
        <v>0.69060012066674925</v>
      </c>
      <c r="K11" s="75">
        <f>'Kpi Indicators'!I10</f>
        <v>0.81810395140477554</v>
      </c>
    </row>
    <row r="12" spans="2:13" ht="16">
      <c r="B12" s="4" t="s">
        <v>21</v>
      </c>
      <c r="C12" s="43">
        <v>0.35228571428571431</v>
      </c>
      <c r="D12" s="43">
        <v>0.86299955496217184</v>
      </c>
      <c r="E12" s="75">
        <v>0.47142857142857142</v>
      </c>
      <c r="F12" s="75">
        <v>0.54825396825396822</v>
      </c>
      <c r="G12" s="75">
        <v>0.75523809523809526</v>
      </c>
      <c r="H12" s="75">
        <v>0.84735139860139863</v>
      </c>
      <c r="I12" s="75">
        <v>0.87894409937888196</v>
      </c>
      <c r="J12" s="75">
        <v>0.70952380952380945</v>
      </c>
      <c r="K12" s="75">
        <f>'Kpi Indicators'!I11</f>
        <v>0.71124510410224695</v>
      </c>
    </row>
    <row r="13" spans="2:13" ht="16">
      <c r="B13" s="4" t="s">
        <v>22</v>
      </c>
      <c r="C13" s="43">
        <v>0.32551353016713619</v>
      </c>
      <c r="D13" s="43">
        <v>0.55674812489098202</v>
      </c>
      <c r="E13" s="75">
        <v>0.66460125633143763</v>
      </c>
      <c r="F13" s="75">
        <v>0.53895104592009113</v>
      </c>
      <c r="G13" s="75">
        <v>0.64520466672782451</v>
      </c>
      <c r="H13" s="75">
        <v>0.52532309303793834</v>
      </c>
      <c r="I13" s="75">
        <v>0.67323167469234879</v>
      </c>
      <c r="J13" s="75">
        <v>0.76734657702363795</v>
      </c>
      <c r="K13" s="75">
        <f>'Kpi Indicators'!I12</f>
        <v>1.0099232630623112</v>
      </c>
    </row>
    <row r="14" spans="2:13" ht="16">
      <c r="B14" s="4" t="s">
        <v>23</v>
      </c>
      <c r="C14" s="43">
        <v>0.49127290322580641</v>
      </c>
      <c r="D14" s="43">
        <v>1.1688823529411765</v>
      </c>
      <c r="E14" s="75">
        <v>0.82427066238750657</v>
      </c>
      <c r="F14" s="75">
        <v>0.68749650349650349</v>
      </c>
      <c r="G14" s="75">
        <v>0.67466883116883114</v>
      </c>
      <c r="H14" s="75">
        <v>0.63557055987109079</v>
      </c>
      <c r="I14" s="75">
        <v>0.89049883740242475</v>
      </c>
      <c r="J14" s="75">
        <v>0.89016726285289527</v>
      </c>
      <c r="K14" s="75">
        <f>'Kpi Indicators'!I13</f>
        <v>0.98478446575185929</v>
      </c>
    </row>
    <row r="15" spans="2:13">
      <c r="B15" s="3"/>
      <c r="C15" s="76"/>
      <c r="D15" s="76"/>
      <c r="E15" s="77"/>
      <c r="F15" s="77"/>
      <c r="G15" s="77"/>
      <c r="H15" s="77"/>
      <c r="I15" s="77"/>
      <c r="J15" s="77"/>
      <c r="K15" s="77"/>
    </row>
    <row r="16" spans="2:13" ht="16">
      <c r="B16" s="78" t="s">
        <v>160</v>
      </c>
      <c r="M16" s="78" t="s">
        <v>134</v>
      </c>
    </row>
    <row r="17" spans="2:22" ht="16">
      <c r="B17" s="74" t="s">
        <v>158</v>
      </c>
      <c r="C17" s="74" t="s">
        <v>147</v>
      </c>
      <c r="D17" s="74" t="s">
        <v>148</v>
      </c>
      <c r="E17" s="74" t="s">
        <v>149</v>
      </c>
      <c r="F17" s="74" t="s">
        <v>149</v>
      </c>
      <c r="G17" s="74" t="s">
        <v>151</v>
      </c>
      <c r="H17" s="74" t="s">
        <v>85</v>
      </c>
      <c r="I17" s="74" t="s">
        <v>126</v>
      </c>
      <c r="J17" s="74" t="s">
        <v>178</v>
      </c>
      <c r="K17" s="74" t="s">
        <v>302</v>
      </c>
      <c r="M17" s="74" t="s">
        <v>158</v>
      </c>
      <c r="N17" s="74" t="s">
        <v>147</v>
      </c>
      <c r="O17" s="74" t="s">
        <v>148</v>
      </c>
      <c r="P17" s="74" t="s">
        <v>149</v>
      </c>
      <c r="Q17" s="74" t="s">
        <v>150</v>
      </c>
      <c r="R17" s="74" t="s">
        <v>151</v>
      </c>
      <c r="S17" s="74" t="s">
        <v>85</v>
      </c>
      <c r="T17" s="74" t="s">
        <v>126</v>
      </c>
      <c r="U17" s="74" t="s">
        <v>178</v>
      </c>
      <c r="V17" s="74" t="s">
        <v>302</v>
      </c>
    </row>
    <row r="18" spans="2:22" ht="16">
      <c r="B18" s="4" t="s">
        <v>7</v>
      </c>
      <c r="C18" s="43">
        <v>0.79</v>
      </c>
      <c r="D18" s="43">
        <v>0.91803278688524592</v>
      </c>
      <c r="E18" s="75">
        <v>0.86206896551724133</v>
      </c>
      <c r="F18" s="28">
        <v>0.87878787878787878</v>
      </c>
      <c r="G18" s="28">
        <v>0.67500000000000004</v>
      </c>
      <c r="H18" s="28">
        <v>0.29457364341085274</v>
      </c>
      <c r="I18" s="28">
        <v>0.76190476190476186</v>
      </c>
      <c r="J18" s="28">
        <v>1</v>
      </c>
      <c r="K18" s="28">
        <f>'Check Now 26.17 Full Analysis'!C6</f>
        <v>0.35616438356164382</v>
      </c>
      <c r="M18" s="4" t="s">
        <v>7</v>
      </c>
      <c r="N18" s="43">
        <v>1.0285714285714285</v>
      </c>
      <c r="O18" s="43">
        <v>1.7428571428571429</v>
      </c>
      <c r="P18" s="28">
        <v>1.1599999999999999</v>
      </c>
      <c r="Q18" s="28">
        <v>2</v>
      </c>
      <c r="R18" s="43">
        <v>2.375</v>
      </c>
      <c r="S18" s="43">
        <v>1.28125</v>
      </c>
      <c r="T18" s="43">
        <v>0.97222222222222221</v>
      </c>
      <c r="U18" s="43">
        <v>1.2285714285714286</v>
      </c>
      <c r="V18" s="43">
        <f>'Check Now 26.17 Full Analysis'!D6</f>
        <v>1</v>
      </c>
    </row>
    <row r="19" spans="2:22" ht="16">
      <c r="B19" s="4" t="s">
        <v>10</v>
      </c>
      <c r="C19" s="43">
        <v>0.74308300395256921</v>
      </c>
      <c r="D19" s="43">
        <v>0.90909090909090906</v>
      </c>
      <c r="E19" s="75">
        <v>0.96842105263157896</v>
      </c>
      <c r="F19" s="28">
        <v>0.78048780487804881</v>
      </c>
      <c r="G19" s="28">
        <v>0.63265306122448983</v>
      </c>
      <c r="H19" s="28">
        <v>0.78155339805825241</v>
      </c>
      <c r="I19" s="28">
        <v>0.73684210526315785</v>
      </c>
      <c r="J19" s="28">
        <v>0.48648648648648651</v>
      </c>
      <c r="K19" s="28">
        <f>'Check Now 26.17 Full Analysis'!C7</f>
        <v>0.57070707070707072</v>
      </c>
      <c r="M19" s="4" t="s">
        <v>10</v>
      </c>
      <c r="N19" s="43">
        <v>0.60499999999999998</v>
      </c>
      <c r="O19" s="43">
        <v>1.1428571428571428</v>
      </c>
      <c r="P19" s="28">
        <v>1.45</v>
      </c>
      <c r="Q19" s="28">
        <v>1.1714285714285715</v>
      </c>
      <c r="R19" s="43">
        <v>1.1507936507936507</v>
      </c>
      <c r="S19" s="43">
        <v>1.2285714285714286</v>
      </c>
      <c r="T19" s="43">
        <v>0.84126984126984128</v>
      </c>
      <c r="U19" s="43">
        <v>1.25</v>
      </c>
      <c r="V19" s="43">
        <f>'Check Now 26.17 Full Analysis'!D7</f>
        <v>1.4285714285714286</v>
      </c>
    </row>
    <row r="20" spans="2:22" ht="16">
      <c r="B20" s="4" t="s">
        <v>12</v>
      </c>
      <c r="C20" s="43">
        <v>0.97468354430379744</v>
      </c>
      <c r="D20" s="43">
        <v>0.69696969696969702</v>
      </c>
      <c r="E20" s="75">
        <v>0.55434782608695654</v>
      </c>
      <c r="F20" s="28">
        <v>0.54651162790697672</v>
      </c>
      <c r="G20" s="28">
        <v>0.54385964912280704</v>
      </c>
      <c r="H20" s="28">
        <v>0.60810810810810811</v>
      </c>
      <c r="I20" s="28">
        <v>0.5</v>
      </c>
      <c r="J20" s="28">
        <v>0.26865671641791045</v>
      </c>
      <c r="K20" s="28">
        <f>'Check Now 26.17 Full Analysis'!C8</f>
        <v>0.8</v>
      </c>
      <c r="M20" s="4" t="s">
        <v>12</v>
      </c>
      <c r="N20" s="43">
        <v>1.1071428571428572</v>
      </c>
      <c r="O20" s="43">
        <v>1.71875</v>
      </c>
      <c r="P20" s="28">
        <v>1.9722222222222223</v>
      </c>
      <c r="Q20" s="28">
        <v>2.0555555555555554</v>
      </c>
      <c r="R20" s="43">
        <v>1.6875</v>
      </c>
      <c r="S20" s="43">
        <v>2.0625</v>
      </c>
      <c r="T20" s="43">
        <v>1.6111111111111112</v>
      </c>
      <c r="U20" s="43">
        <v>1.75</v>
      </c>
      <c r="V20" s="43">
        <f>'Check Now 26.17 Full Analysis'!D8</f>
        <v>0.3888888888888889</v>
      </c>
    </row>
    <row r="21" spans="2:22">
      <c r="B21" s="7" t="s">
        <v>14</v>
      </c>
      <c r="C21" s="43" t="s">
        <v>159</v>
      </c>
      <c r="D21" s="43" t="s">
        <v>159</v>
      </c>
      <c r="E21" s="43" t="s">
        <v>159</v>
      </c>
      <c r="F21" s="43" t="s">
        <v>159</v>
      </c>
      <c r="G21" s="43" t="s">
        <v>159</v>
      </c>
      <c r="H21" s="28">
        <v>0.76800000000000002</v>
      </c>
      <c r="I21" s="28">
        <v>0.86842105263157898</v>
      </c>
      <c r="J21" s="28">
        <v>0.84393063583815031</v>
      </c>
      <c r="K21" s="28">
        <f>'Check Now 26.17 Full Analysis'!C9</f>
        <v>0.91079812206572774</v>
      </c>
      <c r="M21" s="7" t="s">
        <v>14</v>
      </c>
      <c r="N21" s="43" t="s">
        <v>159</v>
      </c>
      <c r="O21" s="43" t="s">
        <v>159</v>
      </c>
      <c r="P21" s="43" t="s">
        <v>159</v>
      </c>
      <c r="Q21" s="43" t="s">
        <v>159</v>
      </c>
      <c r="R21" s="43" t="s">
        <v>159</v>
      </c>
      <c r="S21" s="43">
        <v>0.82857142857142863</v>
      </c>
      <c r="T21" s="43">
        <v>1.0428571428571429</v>
      </c>
      <c r="U21" s="43">
        <v>1.1857142857142857</v>
      </c>
      <c r="V21" s="43">
        <f>'Check Now 26.17 Full Analysis'!D9</f>
        <v>1.4214285714285715</v>
      </c>
    </row>
    <row r="22" spans="2:22" ht="16">
      <c r="B22" s="4" t="s">
        <v>16</v>
      </c>
      <c r="C22" s="43">
        <v>0.71532846715328469</v>
      </c>
      <c r="D22" s="43">
        <v>0.61538461538461542</v>
      </c>
      <c r="E22" s="75">
        <v>0.84462151394422313</v>
      </c>
      <c r="F22" s="28">
        <v>0.84799999999999998</v>
      </c>
      <c r="G22" s="28">
        <v>0.61052631578947369</v>
      </c>
      <c r="H22" s="28">
        <v>0.82777777777777772</v>
      </c>
      <c r="I22" s="28">
        <v>0.61235955056179781</v>
      </c>
      <c r="J22" s="28">
        <v>0.76388888888888884</v>
      </c>
      <c r="K22" s="28">
        <f>'Check Now 26.17 Full Analysis'!C10</f>
        <v>0.61935483870967745</v>
      </c>
      <c r="M22" s="4" t="s">
        <v>16</v>
      </c>
      <c r="N22" s="43">
        <v>0.77777777777777779</v>
      </c>
      <c r="O22" s="43">
        <v>1.5</v>
      </c>
      <c r="P22" s="28">
        <v>1.1785714285714286</v>
      </c>
      <c r="Q22" s="28">
        <v>1.73</v>
      </c>
      <c r="R22" s="43">
        <v>1.0928571428571427</v>
      </c>
      <c r="S22" s="43">
        <v>1.0476190476190477</v>
      </c>
      <c r="T22" s="43">
        <v>1.4126984126984128</v>
      </c>
      <c r="U22" s="43">
        <v>1.2589285714285714</v>
      </c>
      <c r="V22" s="43">
        <f>'Check Now 26.17 Full Analysis'!D10</f>
        <v>1.1000000000000001</v>
      </c>
    </row>
    <row r="23" spans="2:22" ht="16">
      <c r="B23" s="4" t="s">
        <v>18</v>
      </c>
      <c r="C23" s="43">
        <v>0.94366197183098588</v>
      </c>
      <c r="D23" s="43">
        <v>0.9438202247191011</v>
      </c>
      <c r="E23" s="75">
        <v>0.93835616438356162</v>
      </c>
      <c r="F23" s="28">
        <v>1.1830985915492958</v>
      </c>
      <c r="G23" s="28">
        <v>1.0740740740740742</v>
      </c>
      <c r="H23" s="28">
        <v>0.86315789473684212</v>
      </c>
      <c r="I23" s="28">
        <v>0.91304347826086951</v>
      </c>
      <c r="J23" s="28">
        <v>0.7191011235955056</v>
      </c>
      <c r="K23" s="28">
        <f>'Check Now 26.17 Full Analysis'!C11</f>
        <v>0.90384615384615385</v>
      </c>
      <c r="M23" s="4" t="s">
        <v>18</v>
      </c>
      <c r="N23" s="43">
        <v>1.1607142857142858</v>
      </c>
      <c r="O23" s="43">
        <v>0.93877551020408168</v>
      </c>
      <c r="P23" s="28">
        <v>1.7936507936507937</v>
      </c>
      <c r="Q23" s="28">
        <v>1.2678571428571428</v>
      </c>
      <c r="R23" s="43">
        <v>1.2857142857142858</v>
      </c>
      <c r="S23" s="43">
        <v>1.5079365079365079</v>
      </c>
      <c r="T23" s="43">
        <v>1.6428571428571428</v>
      </c>
      <c r="U23" s="43">
        <v>1.4126984126984128</v>
      </c>
      <c r="V23" s="43">
        <f>'Check Now 26.17 Full Analysis'!D11</f>
        <v>1.8571428571428572</v>
      </c>
    </row>
    <row r="24" spans="2:22" ht="16">
      <c r="B24" s="4" t="s">
        <v>20</v>
      </c>
      <c r="C24" s="43">
        <v>0.7752808988764045</v>
      </c>
      <c r="D24" s="43">
        <v>0.85057471264367812</v>
      </c>
      <c r="E24" s="75">
        <v>0.81538461538461537</v>
      </c>
      <c r="F24" s="28">
        <v>0.84523809523809523</v>
      </c>
      <c r="G24" s="28">
        <v>0.77500000000000002</v>
      </c>
      <c r="H24" s="28">
        <v>0.73913043478260865</v>
      </c>
      <c r="I24" s="28">
        <v>0.6470588235294118</v>
      </c>
      <c r="J24" s="28">
        <v>0.74576271186440679</v>
      </c>
      <c r="K24" s="28">
        <f>'Check Now 26.17 Full Analysis'!C12</f>
        <v>0.75294117647058822</v>
      </c>
      <c r="M24" s="4" t="s">
        <v>20</v>
      </c>
      <c r="N24" s="43">
        <v>0.97142857142857142</v>
      </c>
      <c r="O24" s="43">
        <v>1.2142857142857142</v>
      </c>
      <c r="P24" s="28">
        <v>1.5714285714285714</v>
      </c>
      <c r="Q24" s="28">
        <v>1.3333333333333333</v>
      </c>
      <c r="R24" s="43">
        <v>2.6666666666666665</v>
      </c>
      <c r="S24" s="43">
        <v>1.1499999999999999</v>
      </c>
      <c r="T24" s="43">
        <v>1.2592592592592593</v>
      </c>
      <c r="U24" s="43">
        <v>1.2857142857142858</v>
      </c>
      <c r="V24" s="43">
        <f>'Check Now 26.17 Full Analysis'!D12</f>
        <v>1.2142857142857142</v>
      </c>
    </row>
    <row r="25" spans="2:22" ht="16">
      <c r="B25" s="4" t="s">
        <v>217</v>
      </c>
      <c r="C25" s="43" t="s">
        <v>159</v>
      </c>
      <c r="D25" s="43" t="s">
        <v>159</v>
      </c>
      <c r="E25" s="43" t="s">
        <v>159</v>
      </c>
      <c r="F25" s="43" t="s">
        <v>159</v>
      </c>
      <c r="G25" s="43" t="s">
        <v>159</v>
      </c>
      <c r="H25" s="43" t="s">
        <v>159</v>
      </c>
      <c r="I25" s="43" t="s">
        <v>159</v>
      </c>
      <c r="J25" s="28">
        <v>0.73115186383794795</v>
      </c>
      <c r="K25" s="28">
        <f>'Check Now 26.17 Full Analysis'!C13</f>
        <v>0.52857614800132147</v>
      </c>
      <c r="M25" s="4" t="s">
        <v>217</v>
      </c>
      <c r="N25" s="43" t="s">
        <v>159</v>
      </c>
      <c r="O25" s="43" t="s">
        <v>159</v>
      </c>
      <c r="P25" s="43" t="s">
        <v>159</v>
      </c>
      <c r="Q25" s="43" t="s">
        <v>159</v>
      </c>
      <c r="R25" s="43" t="s">
        <v>159</v>
      </c>
      <c r="S25" s="43" t="s">
        <v>159</v>
      </c>
      <c r="T25" s="43" t="s">
        <v>159</v>
      </c>
      <c r="U25" s="43">
        <v>0.91428571428571426</v>
      </c>
      <c r="V25" s="43">
        <f>'Check Now 26.17 Full Analysis'!D13</f>
        <v>1.5975714285714286</v>
      </c>
    </row>
    <row r="26" spans="2:22" ht="16">
      <c r="B26" s="4" t="s">
        <v>21</v>
      </c>
      <c r="C26" s="43">
        <v>0.84</v>
      </c>
      <c r="D26" s="43">
        <v>0.96261682242990654</v>
      </c>
      <c r="E26" s="75">
        <v>0.8</v>
      </c>
      <c r="F26" s="28">
        <v>1</v>
      </c>
      <c r="G26" s="28">
        <v>1</v>
      </c>
      <c r="H26" s="28">
        <v>0.99300699300699302</v>
      </c>
      <c r="I26" s="28">
        <v>0.63043478260869568</v>
      </c>
      <c r="J26" s="28">
        <v>1</v>
      </c>
      <c r="K26" s="28">
        <f>'Check Now 26.17 Full Analysis'!C14</f>
        <v>0.98989898989898994</v>
      </c>
      <c r="M26" s="4" t="s">
        <v>21</v>
      </c>
      <c r="N26" s="43">
        <v>0.44285714285714284</v>
      </c>
      <c r="O26" s="43">
        <v>0.87142857142857144</v>
      </c>
      <c r="P26" s="28">
        <v>0.31428571428571428</v>
      </c>
      <c r="Q26" s="28">
        <v>0.37142857142857144</v>
      </c>
      <c r="R26" s="43">
        <v>0.88571428571428568</v>
      </c>
      <c r="S26" s="43">
        <v>0.8</v>
      </c>
      <c r="T26" s="43">
        <v>0.52857142857142858</v>
      </c>
      <c r="U26" s="43">
        <v>0.42857142857142855</v>
      </c>
      <c r="V26" s="43">
        <f>'Check Now 26.17 Full Analysis'!D14</f>
        <v>0.63265306122448983</v>
      </c>
    </row>
    <row r="27" spans="2:22" ht="16">
      <c r="B27" s="4" t="s">
        <v>22</v>
      </c>
      <c r="C27" s="43">
        <v>0.82921050797853812</v>
      </c>
      <c r="D27" s="43">
        <v>0.94191522762951341</v>
      </c>
      <c r="E27" s="75">
        <v>0.6582672706681767</v>
      </c>
      <c r="F27" s="28">
        <v>0.72977903912426523</v>
      </c>
      <c r="G27" s="28">
        <v>0.75453523840102743</v>
      </c>
      <c r="H27" s="28">
        <v>0.81357975090397749</v>
      </c>
      <c r="I27" s="28">
        <v>0.88282504012841101</v>
      </c>
      <c r="J27" s="28">
        <v>0.83239955178485669</v>
      </c>
      <c r="K27" s="28">
        <f>'Check Now 26.17 Full Analysis'!C15</f>
        <v>0.76447345816869949</v>
      </c>
      <c r="M27" s="4" t="s">
        <v>22</v>
      </c>
      <c r="N27" s="43">
        <v>1.0967142857142858</v>
      </c>
      <c r="O27" s="43">
        <v>1.2336507936507937</v>
      </c>
      <c r="P27" s="28">
        <v>1.0217857142857143</v>
      </c>
      <c r="Q27" s="28">
        <v>1.0132857142857141</v>
      </c>
      <c r="R27" s="43">
        <v>0.85964285714285715</v>
      </c>
      <c r="S27" s="43">
        <v>1.0010714285714284</v>
      </c>
      <c r="T27" s="43">
        <v>0.76666666666666661</v>
      </c>
      <c r="U27" s="43">
        <v>1.3419999999999999</v>
      </c>
      <c r="V27" s="43">
        <f>'Check Now 26.17 Full Analysis'!D15</f>
        <v>1.5702857142857143</v>
      </c>
    </row>
    <row r="28" spans="2:22" ht="16">
      <c r="B28" s="4" t="s">
        <v>23</v>
      </c>
      <c r="C28" s="43">
        <v>0.75806451612903225</v>
      </c>
      <c r="D28" s="43">
        <v>0.86274509803921573</v>
      </c>
      <c r="E28" s="75">
        <v>0.89994706193753304</v>
      </c>
      <c r="F28" s="28">
        <v>0.82</v>
      </c>
      <c r="G28" s="28">
        <v>0.70857142857142852</v>
      </c>
      <c r="H28" s="28">
        <v>0.88329261417026872</v>
      </c>
      <c r="I28" s="28">
        <v>0.52017937219730936</v>
      </c>
      <c r="J28" s="28">
        <v>0.69555059997876167</v>
      </c>
      <c r="K28" s="28">
        <f>'Check Now 26.17 Full Analysis'!C16</f>
        <v>0.70400169383866185</v>
      </c>
      <c r="M28" s="4" t="s">
        <v>23</v>
      </c>
      <c r="N28" s="43">
        <v>0.77159999999999995</v>
      </c>
      <c r="O28" s="43">
        <v>5.7633333333333328</v>
      </c>
      <c r="P28" s="28">
        <v>1.1928125000000001</v>
      </c>
      <c r="Q28" s="28">
        <v>0.92727272727272725</v>
      </c>
      <c r="R28" s="43">
        <v>0.95454545454545459</v>
      </c>
      <c r="S28" s="43">
        <v>1.21875</v>
      </c>
      <c r="T28" s="43">
        <v>0.86462962962962975</v>
      </c>
      <c r="U28" s="43">
        <v>1.0705714285714287</v>
      </c>
      <c r="V28" s="43">
        <f>'Check Now 26.17 Full Analysis'!D16</f>
        <v>1.4398412698412699</v>
      </c>
    </row>
    <row r="30" spans="2:22" ht="16">
      <c r="B30" s="78" t="s">
        <v>161</v>
      </c>
      <c r="M30" s="78" t="s">
        <v>162</v>
      </c>
    </row>
    <row r="31" spans="2:22" ht="16">
      <c r="B31" s="74" t="s">
        <v>158</v>
      </c>
      <c r="C31" s="74" t="s">
        <v>147</v>
      </c>
      <c r="D31" s="74" t="s">
        <v>148</v>
      </c>
      <c r="E31" s="74" t="s">
        <v>149</v>
      </c>
      <c r="F31" s="74" t="s">
        <v>149</v>
      </c>
      <c r="G31" s="74" t="s">
        <v>151</v>
      </c>
      <c r="H31" s="74" t="s">
        <v>85</v>
      </c>
      <c r="I31" s="74" t="s">
        <v>126</v>
      </c>
      <c r="J31" s="74" t="s">
        <v>178</v>
      </c>
      <c r="K31" s="74" t="s">
        <v>302</v>
      </c>
      <c r="M31" s="74" t="s">
        <v>158</v>
      </c>
      <c r="N31" s="74" t="s">
        <v>147</v>
      </c>
      <c r="O31" s="74" t="s">
        <v>148</v>
      </c>
      <c r="P31" s="74" t="s">
        <v>149</v>
      </c>
      <c r="Q31" s="74" t="s">
        <v>150</v>
      </c>
      <c r="R31" s="74" t="s">
        <v>151</v>
      </c>
      <c r="S31" s="74" t="s">
        <v>85</v>
      </c>
      <c r="T31" s="74" t="s">
        <v>126</v>
      </c>
      <c r="U31" s="74" t="s">
        <v>178</v>
      </c>
      <c r="V31" s="74" t="s">
        <v>302</v>
      </c>
    </row>
    <row r="32" spans="2:22" ht="16">
      <c r="B32" s="4" t="s">
        <v>7</v>
      </c>
      <c r="C32" s="42">
        <v>0.2857142857142857</v>
      </c>
      <c r="D32" s="43">
        <v>1</v>
      </c>
      <c r="E32" s="42">
        <v>1</v>
      </c>
      <c r="F32" s="28">
        <v>1</v>
      </c>
      <c r="G32" s="28">
        <v>1</v>
      </c>
      <c r="H32" s="28">
        <v>0.66666666666666663</v>
      </c>
      <c r="I32" s="28">
        <v>1</v>
      </c>
      <c r="J32" s="28">
        <v>1</v>
      </c>
      <c r="K32" s="28">
        <f>'Check Now 26.17 Full Analysis'!D20</f>
        <v>1</v>
      </c>
      <c r="M32" s="4" t="s">
        <v>7</v>
      </c>
      <c r="N32" s="43">
        <v>0</v>
      </c>
      <c r="O32" s="43">
        <v>0</v>
      </c>
      <c r="P32" s="42">
        <v>0</v>
      </c>
      <c r="Q32" s="75">
        <v>0</v>
      </c>
      <c r="R32" s="43">
        <v>0</v>
      </c>
      <c r="S32" s="43">
        <v>0</v>
      </c>
      <c r="T32" s="94">
        <v>0</v>
      </c>
      <c r="U32" s="94">
        <v>0</v>
      </c>
      <c r="V32" s="94">
        <f>'Check Now 26.17 Full Analysis'!D34</f>
        <v>0</v>
      </c>
    </row>
    <row r="33" spans="2:22" ht="16">
      <c r="B33" s="4" t="s">
        <v>10</v>
      </c>
      <c r="C33" s="42">
        <v>0.2</v>
      </c>
      <c r="D33" s="43">
        <v>1</v>
      </c>
      <c r="E33" s="42">
        <v>0.69230769230769229</v>
      </c>
      <c r="F33" s="28">
        <v>1</v>
      </c>
      <c r="G33" s="28">
        <v>1</v>
      </c>
      <c r="H33" s="28">
        <v>0.81481481481481477</v>
      </c>
      <c r="I33" s="28">
        <v>1</v>
      </c>
      <c r="J33" s="28">
        <v>0.69230769230769229</v>
      </c>
      <c r="K33" s="28">
        <f>'Check Now 26.17 Full Analysis'!D21</f>
        <v>0.8</v>
      </c>
      <c r="M33" s="4" t="s">
        <v>10</v>
      </c>
      <c r="N33" s="43">
        <v>0</v>
      </c>
      <c r="O33" s="43">
        <v>0</v>
      </c>
      <c r="P33" s="42">
        <v>0.19230769230769232</v>
      </c>
      <c r="Q33" s="75">
        <v>0.875</v>
      </c>
      <c r="R33" s="43">
        <v>0.125</v>
      </c>
      <c r="S33" s="43">
        <v>7.407407407407407E-2</v>
      </c>
      <c r="T33" s="94">
        <v>0.21052631578947367</v>
      </c>
      <c r="U33" s="94">
        <v>7.6923076923076927E-2</v>
      </c>
      <c r="V33" s="94">
        <f>'Check Now 26.17 Full Analysis'!D35</f>
        <v>0</v>
      </c>
    </row>
    <row r="34" spans="2:22" ht="16">
      <c r="B34" s="4" t="s">
        <v>12</v>
      </c>
      <c r="C34" s="42">
        <v>0.53846153846153844</v>
      </c>
      <c r="D34" s="43">
        <v>0.46666666666666667</v>
      </c>
      <c r="E34" s="42">
        <v>0.6470588235294118</v>
      </c>
      <c r="F34" s="28">
        <v>0.86363636363636365</v>
      </c>
      <c r="G34" s="28">
        <v>0.875</v>
      </c>
      <c r="H34" s="28">
        <v>0.81818181818181823</v>
      </c>
      <c r="I34" s="28">
        <v>0.90909090909090906</v>
      </c>
      <c r="J34" s="28">
        <v>0.5714285714285714</v>
      </c>
      <c r="K34" s="28">
        <f>'Check Now 26.17 Full Analysis'!D22</f>
        <v>1</v>
      </c>
      <c r="M34" s="4" t="s">
        <v>12</v>
      </c>
      <c r="N34" s="43">
        <v>0</v>
      </c>
      <c r="O34" s="43">
        <v>0.4</v>
      </c>
      <c r="P34" s="42">
        <v>5.8823529411764705E-2</v>
      </c>
      <c r="Q34" s="75">
        <v>0.13636363636363635</v>
      </c>
      <c r="R34" s="43">
        <v>0</v>
      </c>
      <c r="S34" s="43">
        <v>0</v>
      </c>
      <c r="T34" s="94">
        <v>0</v>
      </c>
      <c r="U34" s="94">
        <v>0.2857142857142857</v>
      </c>
      <c r="V34" s="94">
        <f>'Check Now 26.17 Full Analysis'!D36</f>
        <v>0</v>
      </c>
    </row>
    <row r="35" spans="2:22">
      <c r="B35" s="7" t="s">
        <v>14</v>
      </c>
      <c r="C35" s="43" t="s">
        <v>159</v>
      </c>
      <c r="D35" s="43" t="s">
        <v>159</v>
      </c>
      <c r="E35" s="43" t="s">
        <v>159</v>
      </c>
      <c r="F35" s="43" t="s">
        <v>159</v>
      </c>
      <c r="G35" s="43" t="s">
        <v>159</v>
      </c>
      <c r="H35" s="28">
        <v>0.93333333333333335</v>
      </c>
      <c r="I35" s="28">
        <v>1</v>
      </c>
      <c r="J35" s="28">
        <v>0.86956521739130432</v>
      </c>
      <c r="K35" s="28">
        <f>'Check Now 26.17 Full Analysis'!D23</f>
        <v>0.96666666666666667</v>
      </c>
      <c r="M35" s="7" t="s">
        <v>14</v>
      </c>
      <c r="N35" s="43" t="s">
        <v>159</v>
      </c>
      <c r="O35" s="43" t="s">
        <v>159</v>
      </c>
      <c r="P35" s="43" t="s">
        <v>159</v>
      </c>
      <c r="Q35" s="43" t="s">
        <v>159</v>
      </c>
      <c r="R35" s="43" t="s">
        <v>159</v>
      </c>
      <c r="S35" s="43">
        <v>0</v>
      </c>
      <c r="T35" s="94">
        <v>0</v>
      </c>
      <c r="U35" s="94">
        <v>0</v>
      </c>
      <c r="V35" s="94">
        <f>'Check Now 26.17 Full Analysis'!D37</f>
        <v>0</v>
      </c>
    </row>
    <row r="36" spans="2:22" ht="16">
      <c r="B36" s="4" t="s">
        <v>16</v>
      </c>
      <c r="C36" s="42">
        <v>0.46666666666666667</v>
      </c>
      <c r="D36" s="43">
        <v>0.66666666666666663</v>
      </c>
      <c r="E36" s="42">
        <v>0.61764705882352944</v>
      </c>
      <c r="F36" s="28">
        <v>0.65</v>
      </c>
      <c r="G36" s="28">
        <v>0.73913043478260865</v>
      </c>
      <c r="H36" s="28">
        <v>0.7857142857142857</v>
      </c>
      <c r="I36" s="28">
        <v>1</v>
      </c>
      <c r="J36" s="28">
        <v>0.95</v>
      </c>
      <c r="K36" s="28">
        <f>'Check Now 26.17 Full Analysis'!D24</f>
        <v>1</v>
      </c>
      <c r="M36" s="4" t="s">
        <v>16</v>
      </c>
      <c r="N36" s="43">
        <v>0</v>
      </c>
      <c r="O36" s="43">
        <v>0</v>
      </c>
      <c r="P36" s="42">
        <v>2.9411764705882353E-2</v>
      </c>
      <c r="Q36" s="75">
        <v>0.05</v>
      </c>
      <c r="R36" s="43">
        <v>0.21739130434782608</v>
      </c>
      <c r="S36" s="43">
        <v>0</v>
      </c>
      <c r="T36" s="94">
        <v>0</v>
      </c>
      <c r="U36" s="94">
        <v>0</v>
      </c>
      <c r="V36" s="94">
        <f>'Check Now 26.17 Full Analysis'!D38</f>
        <v>7.1428571428571425E-2</v>
      </c>
    </row>
    <row r="37" spans="2:22" ht="16">
      <c r="B37" s="4" t="s">
        <v>18</v>
      </c>
      <c r="C37" s="42">
        <v>0.8666666666666667</v>
      </c>
      <c r="D37" s="43">
        <v>0.42857142857142855</v>
      </c>
      <c r="E37" s="42">
        <v>0.96666666666666667</v>
      </c>
      <c r="F37" s="28">
        <v>1</v>
      </c>
      <c r="G37" s="28">
        <v>1</v>
      </c>
      <c r="H37" s="28">
        <v>1</v>
      </c>
      <c r="I37" s="28">
        <v>1</v>
      </c>
      <c r="J37" s="28">
        <v>1</v>
      </c>
      <c r="K37" s="28">
        <f>'Check Now 26.17 Full Analysis'!D25</f>
        <v>1</v>
      </c>
      <c r="M37" s="4" t="s">
        <v>18</v>
      </c>
      <c r="N37" s="43">
        <v>6.6666666666666666E-2</v>
      </c>
      <c r="O37" s="43">
        <v>0.14285714285714285</v>
      </c>
      <c r="P37" s="42">
        <v>0</v>
      </c>
      <c r="Q37" s="75">
        <v>0</v>
      </c>
      <c r="R37" s="43">
        <v>0</v>
      </c>
      <c r="S37" s="43">
        <v>0</v>
      </c>
      <c r="T37" s="94">
        <v>0</v>
      </c>
      <c r="U37" s="94">
        <v>0</v>
      </c>
      <c r="V37" s="94">
        <f>'Check Now 26.17 Full Analysis'!D39</f>
        <v>0</v>
      </c>
    </row>
    <row r="38" spans="2:22" ht="16">
      <c r="B38" s="4" t="s">
        <v>20</v>
      </c>
      <c r="C38" s="42">
        <v>0.45454545454545453</v>
      </c>
      <c r="D38" s="43">
        <v>1</v>
      </c>
      <c r="E38" s="42">
        <v>0.88888888888888884</v>
      </c>
      <c r="F38" s="28">
        <v>1</v>
      </c>
      <c r="G38" s="28">
        <v>1</v>
      </c>
      <c r="H38" s="28">
        <v>1</v>
      </c>
      <c r="I38" s="28">
        <v>1</v>
      </c>
      <c r="J38" s="28">
        <v>1</v>
      </c>
      <c r="K38" s="28">
        <f>'Check Now 26.17 Full Analysis'!D26</f>
        <v>1</v>
      </c>
      <c r="M38" s="4" t="s">
        <v>20</v>
      </c>
      <c r="N38" s="43">
        <v>9.0909090909090912E-2</v>
      </c>
      <c r="O38" s="43">
        <v>0</v>
      </c>
      <c r="P38" s="42">
        <v>0</v>
      </c>
      <c r="Q38" s="75">
        <v>0</v>
      </c>
      <c r="R38" s="43">
        <v>0</v>
      </c>
      <c r="S38" s="43">
        <v>8.3333333333333329E-2</v>
      </c>
      <c r="T38" s="94">
        <v>0</v>
      </c>
      <c r="U38" s="94">
        <v>0</v>
      </c>
      <c r="V38" s="94">
        <f>'Check Now 26.17 Full Analysis'!D40</f>
        <v>0</v>
      </c>
    </row>
    <row r="39" spans="2:22" ht="16">
      <c r="B39" s="4" t="s">
        <v>217</v>
      </c>
      <c r="C39" s="43" t="s">
        <v>159</v>
      </c>
      <c r="D39" s="43" t="s">
        <v>159</v>
      </c>
      <c r="E39" s="43" t="s">
        <v>159</v>
      </c>
      <c r="F39" s="43" t="s">
        <v>159</v>
      </c>
      <c r="G39" s="43" t="s">
        <v>159</v>
      </c>
      <c r="H39" s="43" t="s">
        <v>159</v>
      </c>
      <c r="I39" s="43" t="s">
        <v>159</v>
      </c>
      <c r="J39" s="28">
        <v>0.6470588235294118</v>
      </c>
      <c r="K39" s="28">
        <f>'Check Now 26.17 Full Analysis'!D27</f>
        <v>0.78947368421052633</v>
      </c>
      <c r="M39" s="4" t="s">
        <v>217</v>
      </c>
      <c r="N39" s="43" t="s">
        <v>159</v>
      </c>
      <c r="O39" s="43" t="s">
        <v>159</v>
      </c>
      <c r="P39" s="43" t="s">
        <v>159</v>
      </c>
      <c r="Q39" s="43" t="s">
        <v>159</v>
      </c>
      <c r="R39" s="43" t="s">
        <v>159</v>
      </c>
      <c r="S39" s="43" t="s">
        <v>159</v>
      </c>
      <c r="T39" s="43" t="s">
        <v>159</v>
      </c>
      <c r="U39" s="94">
        <v>0</v>
      </c>
      <c r="V39" s="94">
        <f>'Check Now 26.17 Full Analysis'!D41</f>
        <v>0</v>
      </c>
    </row>
    <row r="40" spans="2:22" ht="16">
      <c r="B40" s="4" t="s">
        <v>21</v>
      </c>
      <c r="C40" s="42">
        <v>0.2</v>
      </c>
      <c r="D40" s="43">
        <v>0.83333333333333337</v>
      </c>
      <c r="E40" s="42">
        <v>0.4</v>
      </c>
      <c r="F40" s="28">
        <v>0.44444444444444442</v>
      </c>
      <c r="G40" s="28">
        <v>0.66666666666666663</v>
      </c>
      <c r="H40" s="28">
        <v>0.8125</v>
      </c>
      <c r="I40" s="28">
        <v>1</v>
      </c>
      <c r="J40" s="28">
        <v>0.66666666666666663</v>
      </c>
      <c r="K40" s="28">
        <f>'Check Now 26.17 Full Analysis'!D28</f>
        <v>0.6428571428571429</v>
      </c>
      <c r="M40" s="4" t="s">
        <v>21</v>
      </c>
      <c r="N40" s="43">
        <v>0</v>
      </c>
      <c r="O40" s="43">
        <v>8.3333333333333329E-2</v>
      </c>
      <c r="P40" s="42">
        <v>0</v>
      </c>
      <c r="Q40" s="75">
        <v>0</v>
      </c>
      <c r="R40" s="43">
        <v>0</v>
      </c>
      <c r="S40" s="43">
        <v>0.375</v>
      </c>
      <c r="T40" s="94">
        <v>0</v>
      </c>
      <c r="U40" s="94">
        <v>0</v>
      </c>
      <c r="V40" s="94">
        <f>'Check Now 26.17 Full Analysis'!D42</f>
        <v>0</v>
      </c>
    </row>
    <row r="41" spans="2:22" ht="16">
      <c r="B41" s="4" t="s">
        <v>22</v>
      </c>
      <c r="C41" s="42">
        <v>7.1428571428571425E-2</v>
      </c>
      <c r="D41" s="43">
        <v>0.35</v>
      </c>
      <c r="E41" s="42">
        <v>0.61538461538461542</v>
      </c>
      <c r="F41" s="28">
        <v>0.41666666666666669</v>
      </c>
      <c r="G41" s="28">
        <v>0.58333333333333337</v>
      </c>
      <c r="H41" s="28">
        <v>0.375</v>
      </c>
      <c r="I41" s="28">
        <v>0.6</v>
      </c>
      <c r="J41" s="28">
        <v>0.66666666666666663</v>
      </c>
      <c r="K41" s="28">
        <f>'Check Now 26.17 Full Analysis'!D29</f>
        <v>1</v>
      </c>
      <c r="M41" s="4" t="s">
        <v>22</v>
      </c>
      <c r="N41" s="43">
        <v>0</v>
      </c>
      <c r="O41" s="43">
        <v>0.35</v>
      </c>
      <c r="P41" s="42">
        <v>0.30769230769230771</v>
      </c>
      <c r="Q41" s="75">
        <v>0.25</v>
      </c>
      <c r="R41" s="43">
        <v>0</v>
      </c>
      <c r="S41" s="43">
        <v>6.25E-2</v>
      </c>
      <c r="T41" s="94">
        <v>0</v>
      </c>
      <c r="U41" s="94">
        <v>0</v>
      </c>
      <c r="V41" s="94">
        <f>'Check Now 26.17 Full Analysis'!D43</f>
        <v>0</v>
      </c>
    </row>
    <row r="42" spans="2:22" ht="16">
      <c r="B42" s="4" t="s">
        <v>23</v>
      </c>
      <c r="C42" s="42">
        <v>0.375</v>
      </c>
      <c r="D42" s="43">
        <v>0.6</v>
      </c>
      <c r="E42" s="42">
        <v>0.75</v>
      </c>
      <c r="F42" s="28">
        <v>0.61538461538461542</v>
      </c>
      <c r="G42" s="28">
        <v>0.625</v>
      </c>
      <c r="H42" s="28">
        <v>0.48148148148148145</v>
      </c>
      <c r="I42" s="28">
        <v>1</v>
      </c>
      <c r="J42" s="28">
        <v>0.92</v>
      </c>
      <c r="K42" s="28">
        <f>'Check Now 26.17 Full Analysis'!D30</f>
        <v>1</v>
      </c>
      <c r="M42" s="4" t="s">
        <v>23</v>
      </c>
      <c r="N42" s="43">
        <v>0</v>
      </c>
      <c r="O42" s="43">
        <v>0</v>
      </c>
      <c r="P42" s="42">
        <v>0</v>
      </c>
      <c r="Q42" s="75">
        <v>7.6923076923076927E-2</v>
      </c>
      <c r="R42" s="43">
        <v>0.375</v>
      </c>
      <c r="S42" s="43">
        <v>0.29629629629629628</v>
      </c>
      <c r="T42" s="94">
        <v>0.1111111111111111</v>
      </c>
      <c r="U42" s="94">
        <v>0</v>
      </c>
      <c r="V42" s="94">
        <f>'Check Now 26.17 Full Analysis'!D44</f>
        <v>4.1666666666666664E-2</v>
      </c>
    </row>
    <row r="44" spans="2:22" ht="16">
      <c r="M44" s="78" t="s">
        <v>170</v>
      </c>
    </row>
    <row r="45" spans="2:22" ht="16">
      <c r="M45" s="74" t="s">
        <v>158</v>
      </c>
      <c r="N45" s="74" t="s">
        <v>126</v>
      </c>
      <c r="O45" s="74" t="s">
        <v>178</v>
      </c>
      <c r="P45" s="74" t="s">
        <v>302</v>
      </c>
    </row>
    <row r="46" spans="2:22" ht="16">
      <c r="M46" s="4" t="s">
        <v>7</v>
      </c>
      <c r="N46" s="42">
        <v>0</v>
      </c>
      <c r="O46" s="104">
        <v>0</v>
      </c>
      <c r="P46" s="104">
        <f>'Check Now 26.17 Full Analysis'!D48</f>
        <v>0</v>
      </c>
    </row>
    <row r="47" spans="2:22" ht="16">
      <c r="M47" s="4" t="s">
        <v>10</v>
      </c>
      <c r="N47" s="42">
        <v>0.21052631578947367</v>
      </c>
      <c r="O47" s="104">
        <v>0.30769230769230771</v>
      </c>
      <c r="P47" s="104">
        <f>'Check Now 26.17 Full Analysis'!D49</f>
        <v>0.15</v>
      </c>
    </row>
    <row r="48" spans="2:22" ht="16">
      <c r="M48" s="4" t="s">
        <v>12</v>
      </c>
      <c r="N48" s="42">
        <v>9.0909090909090912E-2</v>
      </c>
      <c r="O48" s="104">
        <v>0.14285714285714285</v>
      </c>
      <c r="P48" s="104">
        <f>'Check Now 26.17 Full Analysis'!D50</f>
        <v>0</v>
      </c>
    </row>
    <row r="49" spans="13:16">
      <c r="M49" s="7" t="s">
        <v>14</v>
      </c>
      <c r="N49" s="42">
        <v>0</v>
      </c>
      <c r="O49" s="104">
        <v>0</v>
      </c>
      <c r="P49" s="104">
        <f>'Check Now 26.17 Full Analysis'!D51</f>
        <v>0</v>
      </c>
    </row>
    <row r="50" spans="13:16" ht="16">
      <c r="M50" s="4" t="s">
        <v>16</v>
      </c>
      <c r="N50" s="42">
        <v>0.13043478260869565</v>
      </c>
      <c r="O50" s="104">
        <v>0</v>
      </c>
      <c r="P50" s="104">
        <f>'Check Now 26.17 Full Analysis'!D52</f>
        <v>0</v>
      </c>
    </row>
    <row r="51" spans="13:16" ht="16">
      <c r="M51" s="4" t="s">
        <v>18</v>
      </c>
      <c r="N51" s="42">
        <v>7.6923076923076927E-2</v>
      </c>
      <c r="O51" s="104">
        <v>9.0909090909090912E-2</v>
      </c>
      <c r="P51" s="104">
        <f>'Check Now 26.17 Full Analysis'!D53</f>
        <v>5.8823529411764705E-2</v>
      </c>
    </row>
    <row r="52" spans="13:16" ht="16">
      <c r="M52" s="4" t="s">
        <v>20</v>
      </c>
      <c r="N52" s="42">
        <v>0</v>
      </c>
      <c r="O52" s="104">
        <v>0.22222222222222221</v>
      </c>
      <c r="P52" s="104">
        <f>'Check Now 26.17 Full Analysis'!D54</f>
        <v>0.27272727272727271</v>
      </c>
    </row>
    <row r="53" spans="13:16" ht="16">
      <c r="M53" s="4" t="s">
        <v>217</v>
      </c>
      <c r="N53" s="43" t="s">
        <v>159</v>
      </c>
      <c r="O53" s="104">
        <v>0</v>
      </c>
      <c r="P53" s="104">
        <f>'Check Now 26.17 Full Analysis'!D55</f>
        <v>0</v>
      </c>
    </row>
    <row r="54" spans="13:16" ht="16">
      <c r="M54" s="4" t="s">
        <v>21</v>
      </c>
      <c r="N54" s="42">
        <v>0</v>
      </c>
      <c r="O54" s="104">
        <v>0</v>
      </c>
      <c r="P54" s="104">
        <f>'Check Now 26.17 Full Analysis'!D56</f>
        <v>0</v>
      </c>
    </row>
    <row r="55" spans="13:16" ht="16">
      <c r="M55" s="4" t="s">
        <v>22</v>
      </c>
      <c r="N55" s="42">
        <v>0</v>
      </c>
      <c r="O55" s="104">
        <v>0</v>
      </c>
      <c r="P55" s="104">
        <f>'Check Now 26.17 Full Analysis'!D57</f>
        <v>0</v>
      </c>
    </row>
    <row r="56" spans="13:16" ht="16">
      <c r="M56" s="4" t="s">
        <v>23</v>
      </c>
      <c r="N56" s="42">
        <v>0</v>
      </c>
      <c r="O56" s="104">
        <v>0.16</v>
      </c>
      <c r="P56" s="104">
        <f>'Check Now 26.17 Full Analysis'!D58</f>
        <v>0.125</v>
      </c>
    </row>
  </sheetData>
  <phoneticPr fontId="18" type="noConversion"/>
  <conditionalFormatting sqref="B4:B14">
    <cfRule type="duplicateValues" dxfId="13" priority="19"/>
  </conditionalFormatting>
  <conditionalFormatting sqref="B18:B28">
    <cfRule type="duplicateValues" dxfId="12" priority="24"/>
  </conditionalFormatting>
  <conditionalFormatting sqref="B32:B42">
    <cfRule type="duplicateValues" dxfId="11" priority="29"/>
  </conditionalFormatting>
  <conditionalFormatting sqref="C4:C14">
    <cfRule type="duplicateValues" dxfId="10" priority="17"/>
  </conditionalFormatting>
  <conditionalFormatting sqref="C18:C28">
    <cfRule type="duplicateValues" dxfId="9" priority="20"/>
  </conditionalFormatting>
  <conditionalFormatting sqref="C32:C42">
    <cfRule type="duplicateValues" dxfId="8" priority="25"/>
  </conditionalFormatting>
  <conditionalFormatting sqref="M18:M28">
    <cfRule type="duplicateValues" dxfId="7" priority="22"/>
  </conditionalFormatting>
  <conditionalFormatting sqref="M32:M42">
    <cfRule type="duplicateValues" dxfId="6" priority="27"/>
  </conditionalFormatting>
  <conditionalFormatting sqref="M46:M56">
    <cfRule type="duplicateValues" dxfId="5" priority="3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F413-2892-3443-A195-260199DD4761}">
  <dimension ref="B2:V42"/>
  <sheetViews>
    <sheetView workbookViewId="0">
      <selection activeCell="H40" sqref="H40"/>
    </sheetView>
  </sheetViews>
  <sheetFormatPr baseColWidth="10" defaultRowHeight="15"/>
  <cols>
    <col min="1" max="1" width="3.5" style="2" customWidth="1"/>
    <col min="2" max="2" width="25.83203125" style="2" bestFit="1" customWidth="1"/>
    <col min="3" max="3" width="14.1640625" style="2" bestFit="1" customWidth="1"/>
    <col min="4" max="4" width="15.1640625" style="2" bestFit="1" customWidth="1"/>
    <col min="5" max="5" width="15.1640625" style="2" customWidth="1"/>
    <col min="6" max="6" width="15.1640625" style="2" bestFit="1" customWidth="1"/>
    <col min="7" max="10" width="15.1640625" style="2" customWidth="1"/>
    <col min="11" max="11" width="15.1640625" style="2" bestFit="1" customWidth="1"/>
    <col min="12" max="12" width="7.1640625" style="2" customWidth="1"/>
    <col min="13" max="13" width="30" style="2" customWidth="1"/>
    <col min="14" max="15" width="15.1640625" style="2" bestFit="1" customWidth="1"/>
    <col min="16" max="16" width="15.1640625" style="2" customWidth="1"/>
    <col min="17" max="17" width="15.1640625" style="2" bestFit="1" customWidth="1"/>
    <col min="18" max="21" width="15.1640625" style="2" customWidth="1"/>
    <col min="22" max="22" width="15.1640625" style="2" bestFit="1" customWidth="1"/>
    <col min="23" max="16384" width="10.83203125" style="2"/>
  </cols>
  <sheetData>
    <row r="2" spans="2:11" ht="16">
      <c r="B2" s="74" t="s">
        <v>84</v>
      </c>
      <c r="C2" s="74" t="s">
        <v>147</v>
      </c>
      <c r="D2" s="74" t="s">
        <v>148</v>
      </c>
      <c r="E2" s="74" t="s">
        <v>149</v>
      </c>
      <c r="F2" s="74" t="s">
        <v>150</v>
      </c>
      <c r="G2" s="74" t="s">
        <v>151</v>
      </c>
      <c r="H2" s="74" t="s">
        <v>85</v>
      </c>
      <c r="I2" s="74" t="s">
        <v>126</v>
      </c>
      <c r="J2" s="74" t="s">
        <v>178</v>
      </c>
      <c r="K2" s="74" t="s">
        <v>302</v>
      </c>
    </row>
    <row r="3" spans="2:11" ht="16">
      <c r="B3" s="17" t="s">
        <v>86</v>
      </c>
      <c r="C3" s="79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f>'Check Now 26.17 Analysis'!C6</f>
        <v>0</v>
      </c>
    </row>
    <row r="4" spans="2:11" ht="16">
      <c r="B4" s="17" t="s">
        <v>82</v>
      </c>
      <c r="C4" s="79">
        <v>2</v>
      </c>
      <c r="D4" s="18">
        <v>23</v>
      </c>
      <c r="E4" s="18">
        <v>14</v>
      </c>
      <c r="F4" s="18">
        <v>18</v>
      </c>
      <c r="G4" s="18">
        <v>10</v>
      </c>
      <c r="H4" s="18">
        <v>25</v>
      </c>
      <c r="I4" s="18">
        <v>8</v>
      </c>
      <c r="J4" s="18">
        <v>11</v>
      </c>
      <c r="K4" s="18">
        <f>'Check Now 26.17 Analysis'!C7</f>
        <v>2</v>
      </c>
    </row>
    <row r="5" spans="2:11" ht="17">
      <c r="B5" s="17" t="s">
        <v>83</v>
      </c>
      <c r="C5" s="79" t="s">
        <v>159</v>
      </c>
      <c r="D5" s="79" t="s">
        <v>159</v>
      </c>
      <c r="E5" s="79" t="s">
        <v>159</v>
      </c>
      <c r="F5" s="79" t="s">
        <v>159</v>
      </c>
      <c r="G5" s="79" t="s">
        <v>159</v>
      </c>
      <c r="H5" s="79" t="s">
        <v>159</v>
      </c>
      <c r="I5" s="23">
        <v>9</v>
      </c>
      <c r="J5" s="18">
        <v>12</v>
      </c>
      <c r="K5" s="18">
        <f>'Check Now 26.17 Analysis'!C8</f>
        <v>10</v>
      </c>
    </row>
    <row r="6" spans="2:11" ht="16">
      <c r="B6" s="17" t="s">
        <v>88</v>
      </c>
      <c r="C6" s="80">
        <v>31</v>
      </c>
      <c r="D6" s="80">
        <v>31</v>
      </c>
      <c r="E6" s="18">
        <v>66</v>
      </c>
      <c r="F6" s="81">
        <v>72</v>
      </c>
      <c r="G6" s="81">
        <v>78</v>
      </c>
      <c r="H6" s="18">
        <v>57</v>
      </c>
      <c r="I6" s="18">
        <v>73</v>
      </c>
      <c r="J6" s="18">
        <v>61</v>
      </c>
      <c r="K6" s="18">
        <f>'Check Now 26.17 Analysis'!C9</f>
        <v>57</v>
      </c>
    </row>
    <row r="7" spans="2:11" ht="16">
      <c r="B7" s="17" t="s">
        <v>87</v>
      </c>
      <c r="C7" s="79">
        <v>87</v>
      </c>
      <c r="D7" s="79">
        <v>97</v>
      </c>
      <c r="E7" s="18">
        <v>113</v>
      </c>
      <c r="F7" s="18">
        <v>124</v>
      </c>
      <c r="G7" s="18">
        <v>142</v>
      </c>
      <c r="H7" s="18">
        <v>191</v>
      </c>
      <c r="I7" s="18">
        <v>82</v>
      </c>
      <c r="J7" s="18">
        <v>44</v>
      </c>
      <c r="K7" s="18">
        <f>'Check Now 26.17 Analysis'!C10</f>
        <v>102</v>
      </c>
    </row>
    <row r="8" spans="2:11" ht="16">
      <c r="B8" s="17" t="s">
        <v>89</v>
      </c>
      <c r="C8" s="82">
        <v>721.5</v>
      </c>
      <c r="D8" s="18">
        <v>716</v>
      </c>
      <c r="E8" s="18">
        <v>775.5</v>
      </c>
      <c r="F8" s="18">
        <v>578</v>
      </c>
      <c r="G8" s="18">
        <v>436.5</v>
      </c>
      <c r="H8" s="18">
        <v>694.5</v>
      </c>
      <c r="I8" s="18">
        <v>476</v>
      </c>
      <c r="J8" s="18">
        <v>639.5</v>
      </c>
      <c r="K8" s="18">
        <f>'Check Now 26.17 Analysis'!C11</f>
        <v>569</v>
      </c>
    </row>
    <row r="9" spans="2:11" ht="16">
      <c r="B9" s="17" t="s">
        <v>90</v>
      </c>
      <c r="C9" s="82">
        <v>562.13000000000011</v>
      </c>
      <c r="D9" s="18">
        <v>599.79000000000008</v>
      </c>
      <c r="E9" s="18">
        <v>667.20999999999992</v>
      </c>
      <c r="F9" s="18">
        <v>596.76</v>
      </c>
      <c r="G9" s="18">
        <v>547.89</v>
      </c>
      <c r="H9" s="18">
        <v>699.57999999999993</v>
      </c>
      <c r="I9" s="18">
        <v>619.26</v>
      </c>
      <c r="J9" s="18">
        <v>757.18</v>
      </c>
      <c r="K9" s="18">
        <f>'Check Now 26.17 Analysis'!C12</f>
        <v>776.45999999999992</v>
      </c>
    </row>
    <row r="10" spans="2:11" ht="16">
      <c r="B10" s="17" t="s">
        <v>91</v>
      </c>
      <c r="C10" s="83">
        <v>0</v>
      </c>
      <c r="D10" s="18">
        <v>0</v>
      </c>
      <c r="E10" s="18">
        <v>0</v>
      </c>
      <c r="F10" s="18">
        <v>0</v>
      </c>
      <c r="G10" s="18">
        <v>0</v>
      </c>
      <c r="H10" s="18">
        <v>48</v>
      </c>
      <c r="I10" s="18">
        <v>66</v>
      </c>
      <c r="J10" s="18">
        <v>73</v>
      </c>
      <c r="K10" s="18">
        <f>'Check Now 26.17 Analysis'!C13</f>
        <v>97</v>
      </c>
    </row>
    <row r="11" spans="2:11" ht="16">
      <c r="B11" s="17" t="s">
        <v>92</v>
      </c>
      <c r="C11" s="82">
        <v>0</v>
      </c>
      <c r="D11" s="18">
        <v>0</v>
      </c>
      <c r="E11" s="18">
        <v>0</v>
      </c>
      <c r="F11" s="18">
        <v>0</v>
      </c>
      <c r="G11" s="18">
        <v>0</v>
      </c>
      <c r="H11" s="18">
        <v>58</v>
      </c>
      <c r="I11" s="18">
        <v>73</v>
      </c>
      <c r="J11" s="18">
        <v>83</v>
      </c>
      <c r="K11" s="18">
        <f>'Check Now 26.17 Analysis'!C14</f>
        <v>99.5</v>
      </c>
    </row>
    <row r="12" spans="2:11" ht="16">
      <c r="B12" s="17" t="s">
        <v>93</v>
      </c>
      <c r="C12" s="79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14</v>
      </c>
      <c r="J12" s="18">
        <v>7</v>
      </c>
      <c r="K12" s="18">
        <f>'Check Now 26.17 Analysis'!C15</f>
        <v>2</v>
      </c>
    </row>
    <row r="13" spans="2:11" ht="16">
      <c r="B13" s="17" t="s">
        <v>94</v>
      </c>
      <c r="C13" s="79">
        <v>567.7600000000001</v>
      </c>
      <c r="D13" s="18">
        <v>599.79000000000008</v>
      </c>
      <c r="E13" s="18">
        <v>667.20999999999992</v>
      </c>
      <c r="F13" s="18">
        <v>596.76</v>
      </c>
      <c r="G13" s="18">
        <v>547.89</v>
      </c>
      <c r="H13" s="18">
        <v>757.57999999999993</v>
      </c>
      <c r="I13" s="18">
        <v>692.25999999999988</v>
      </c>
      <c r="J13" s="18">
        <v>840.18</v>
      </c>
      <c r="K13" s="18">
        <f>'Check Now 26.17 Analysis'!C16</f>
        <v>875.96</v>
      </c>
    </row>
    <row r="14" spans="2:11" ht="16">
      <c r="B14" s="17" t="s">
        <v>95</v>
      </c>
      <c r="C14" s="84">
        <v>680</v>
      </c>
      <c r="D14" s="18">
        <v>455</v>
      </c>
      <c r="E14" s="18">
        <v>517</v>
      </c>
      <c r="F14" s="18">
        <v>506</v>
      </c>
      <c r="G14" s="18">
        <v>444.5</v>
      </c>
      <c r="H14" s="18">
        <v>572</v>
      </c>
      <c r="I14" s="18">
        <v>653</v>
      </c>
      <c r="J14" s="18">
        <v>708</v>
      </c>
      <c r="K14" s="18">
        <f>'Check Now 26.17 Analysis'!C17</f>
        <v>680</v>
      </c>
    </row>
    <row r="16" spans="2:11" ht="16">
      <c r="B16" s="73" t="s">
        <v>163</v>
      </c>
    </row>
    <row r="17" spans="2:22" ht="16">
      <c r="B17" s="74" t="s">
        <v>164</v>
      </c>
      <c r="C17" s="74" t="s">
        <v>147</v>
      </c>
      <c r="D17" s="74" t="s">
        <v>148</v>
      </c>
      <c r="E17" s="74" t="s">
        <v>149</v>
      </c>
      <c r="F17" s="74" t="s">
        <v>150</v>
      </c>
      <c r="G17" s="74" t="s">
        <v>151</v>
      </c>
      <c r="H17" s="74" t="s">
        <v>85</v>
      </c>
      <c r="I17" s="74" t="s">
        <v>126</v>
      </c>
      <c r="J17" s="74" t="s">
        <v>178</v>
      </c>
      <c r="K17" s="74" t="s">
        <v>302</v>
      </c>
    </row>
    <row r="18" spans="2:22" ht="16">
      <c r="B18" s="4" t="s">
        <v>9</v>
      </c>
      <c r="C18" s="42">
        <v>0.79809965768753954</v>
      </c>
      <c r="D18" s="85">
        <v>0.6269118318312854</v>
      </c>
      <c r="E18" s="85">
        <v>0.74432577691533197</v>
      </c>
      <c r="F18" s="85">
        <v>0.61529270436485084</v>
      </c>
      <c r="G18" s="85">
        <v>0.65694498432257764</v>
      </c>
      <c r="H18" s="85">
        <v>0.58839881856615106</v>
      </c>
      <c r="I18" s="85">
        <v>0.8235006136035361</v>
      </c>
      <c r="J18" s="85">
        <v>0.80396052079114644</v>
      </c>
      <c r="K18" s="85">
        <f>'Kpi Indicators'!I17</f>
        <v>0.93870840392432675</v>
      </c>
    </row>
    <row r="19" spans="2:22" ht="16">
      <c r="B19" s="4" t="s">
        <v>8</v>
      </c>
      <c r="C19" s="42">
        <v>0.65546725199799094</v>
      </c>
      <c r="D19" s="85">
        <v>0.8539146906235513</v>
      </c>
      <c r="E19" s="85">
        <v>1.0025699358413114</v>
      </c>
      <c r="F19" s="85">
        <v>1.0370554830088978</v>
      </c>
      <c r="G19" s="85">
        <v>1.0492731597726972</v>
      </c>
      <c r="H19" s="85">
        <v>0.93798984359850412</v>
      </c>
      <c r="I19" s="85">
        <v>0.98769081779053081</v>
      </c>
      <c r="J19" s="85">
        <v>0.99666910866910863</v>
      </c>
      <c r="K19" s="85">
        <f>'Kpi Indicators'!I18</f>
        <v>0.97379134860050887</v>
      </c>
    </row>
    <row r="20" spans="2:22" ht="16">
      <c r="B20" s="4" t="s">
        <v>13</v>
      </c>
      <c r="C20" s="42">
        <v>0.70965015929060082</v>
      </c>
      <c r="D20" s="85">
        <v>0.82829809784753461</v>
      </c>
      <c r="E20" s="85">
        <v>0.68234265439554675</v>
      </c>
      <c r="F20" s="85">
        <v>0.80212597294558297</v>
      </c>
      <c r="G20" s="85">
        <v>0.85231116889549285</v>
      </c>
      <c r="H20" s="85">
        <v>0.79404113983714497</v>
      </c>
      <c r="I20" s="85">
        <v>0.82176143259494994</v>
      </c>
      <c r="J20" s="85">
        <v>0.77447955986863026</v>
      </c>
      <c r="K20" s="85">
        <f>'Kpi Indicators'!I19</f>
        <v>0.8110626929975614</v>
      </c>
    </row>
    <row r="21" spans="2:22">
      <c r="B21" s="7" t="s">
        <v>15</v>
      </c>
      <c r="C21" s="42" t="s">
        <v>159</v>
      </c>
      <c r="D21" s="42" t="s">
        <v>159</v>
      </c>
      <c r="E21" s="42" t="s">
        <v>159</v>
      </c>
      <c r="F21" s="42" t="s">
        <v>159</v>
      </c>
      <c r="G21" s="42" t="s">
        <v>159</v>
      </c>
      <c r="H21" s="85">
        <v>0.88979047619047624</v>
      </c>
      <c r="I21" s="85">
        <v>0.97796992481203004</v>
      </c>
      <c r="J21" s="85">
        <v>0.89605320791297161</v>
      </c>
      <c r="K21" s="85">
        <f>'Kpi Indicators'!I20</f>
        <v>1.0009691482226692</v>
      </c>
    </row>
    <row r="23" spans="2:22" ht="16">
      <c r="B23" s="78" t="s">
        <v>165</v>
      </c>
      <c r="M23" s="78" t="s">
        <v>166</v>
      </c>
    </row>
    <row r="24" spans="2:22" ht="16">
      <c r="B24" s="74" t="s">
        <v>164</v>
      </c>
      <c r="C24" s="74" t="s">
        <v>147</v>
      </c>
      <c r="D24" s="74" t="s">
        <v>148</v>
      </c>
      <c r="E24" s="74" t="s">
        <v>149</v>
      </c>
      <c r="F24" s="74" t="s">
        <v>150</v>
      </c>
      <c r="G24" s="74" t="s">
        <v>151</v>
      </c>
      <c r="H24" s="74" t="s">
        <v>85</v>
      </c>
      <c r="I24" s="74" t="s">
        <v>126</v>
      </c>
      <c r="J24" s="74" t="s">
        <v>178</v>
      </c>
      <c r="K24" s="74" t="s">
        <v>302</v>
      </c>
      <c r="M24" s="74" t="s">
        <v>164</v>
      </c>
      <c r="N24" s="74" t="s">
        <v>147</v>
      </c>
      <c r="O24" s="74" t="s">
        <v>148</v>
      </c>
      <c r="P24" s="74" t="s">
        <v>149</v>
      </c>
      <c r="Q24" s="74" t="s">
        <v>150</v>
      </c>
      <c r="R24" s="74" t="s">
        <v>151</v>
      </c>
      <c r="S24" s="74" t="s">
        <v>85</v>
      </c>
      <c r="T24" s="74" t="s">
        <v>126</v>
      </c>
      <c r="U24" s="74" t="s">
        <v>178</v>
      </c>
      <c r="V24" s="74" t="s">
        <v>302</v>
      </c>
    </row>
    <row r="25" spans="2:22" ht="16">
      <c r="B25" s="4" t="s">
        <v>9</v>
      </c>
      <c r="C25" s="42">
        <v>0.82937707631648516</v>
      </c>
      <c r="D25" s="85">
        <v>0.92079104321439786</v>
      </c>
      <c r="E25" s="85">
        <v>0.76584714476474747</v>
      </c>
      <c r="F25" s="86">
        <v>0.76874352182425432</v>
      </c>
      <c r="G25" s="28">
        <v>0.73557148245944937</v>
      </c>
      <c r="H25" s="28">
        <v>0.84959704825711224</v>
      </c>
      <c r="I25" s="28">
        <v>0.71156289707750942</v>
      </c>
      <c r="J25" s="28">
        <v>0.74353313616861738</v>
      </c>
      <c r="K25" s="28">
        <f>'Check Now 26.17 Full Analysis'!H6</f>
        <v>0.66122424388480527</v>
      </c>
      <c r="M25" s="4" t="s">
        <v>9</v>
      </c>
      <c r="N25" s="42">
        <v>4.7313333333333345</v>
      </c>
      <c r="O25" s="85">
        <v>1.6275362318840578</v>
      </c>
      <c r="P25" s="87">
        <v>1.0839772727272727</v>
      </c>
      <c r="Q25" s="28">
        <v>0.97543999999999997</v>
      </c>
      <c r="R25" s="85">
        <v>0.89830687830687828</v>
      </c>
      <c r="S25" s="85">
        <v>1.0917708333333334</v>
      </c>
      <c r="T25" s="85">
        <v>0.81188034188034197</v>
      </c>
      <c r="U25" s="85">
        <v>1.0623428571428573</v>
      </c>
      <c r="V25" s="85">
        <f>'Check Now 26.17 Full Analysis'!I6</f>
        <v>1.5392118226600986</v>
      </c>
    </row>
    <row r="26" spans="2:22" ht="16">
      <c r="B26" s="4" t="s">
        <v>8</v>
      </c>
      <c r="C26" s="42">
        <v>0.82937707631648516</v>
      </c>
      <c r="D26" s="86">
        <v>0.90295358649789026</v>
      </c>
      <c r="E26" s="85">
        <v>0.8929889298892989</v>
      </c>
      <c r="F26" s="86">
        <v>0.96380090497737558</v>
      </c>
      <c r="G26" s="28">
        <v>0.90062111801242239</v>
      </c>
      <c r="H26" s="28">
        <v>0.66520787746170673</v>
      </c>
      <c r="I26" s="28">
        <v>0.79058823529411759</v>
      </c>
      <c r="J26" s="28">
        <v>0.82905982905982911</v>
      </c>
      <c r="K26" s="28">
        <f>'Check Now 26.17 Full Analysis'!H7</f>
        <v>0.70229007633587781</v>
      </c>
      <c r="M26" s="4" t="s">
        <v>8</v>
      </c>
      <c r="N26" s="42">
        <v>1.0459183673469388</v>
      </c>
      <c r="O26" s="85">
        <v>1.2467532467532467</v>
      </c>
      <c r="P26" s="87">
        <v>1.527027027027027</v>
      </c>
      <c r="Q26" s="28">
        <v>1.4429530201342282</v>
      </c>
      <c r="R26" s="85">
        <v>1.6914893617021276</v>
      </c>
      <c r="S26" s="85">
        <v>1.3187134502923976</v>
      </c>
      <c r="T26" s="85">
        <v>1.2957317073170731</v>
      </c>
      <c r="U26" s="85">
        <v>1.3085714285714285</v>
      </c>
      <c r="V26" s="85">
        <f>'Check Now 26.17 Full Analysis'!I7</f>
        <v>1.3333333333333333</v>
      </c>
    </row>
    <row r="27" spans="2:22" ht="16">
      <c r="B27" s="4" t="s">
        <v>13</v>
      </c>
      <c r="C27" s="42">
        <v>0.82937707631648516</v>
      </c>
      <c r="D27" s="85">
        <v>0.79599499374217775</v>
      </c>
      <c r="E27" s="85">
        <v>0.80965645311049206</v>
      </c>
      <c r="F27" s="86">
        <v>0.71894409937888204</v>
      </c>
      <c r="G27" s="28">
        <v>0.63447251114413072</v>
      </c>
      <c r="H27" s="28">
        <v>0.78732566360305933</v>
      </c>
      <c r="I27" s="28">
        <v>0.63950666628600794</v>
      </c>
      <c r="J27" s="28">
        <v>0.65317904934315141</v>
      </c>
      <c r="K27" s="28">
        <f>'Check Now 26.17 Full Analysis'!H8</f>
        <v>0.68672199170124482</v>
      </c>
      <c r="M27" s="4" t="s">
        <v>13</v>
      </c>
      <c r="N27" s="42">
        <v>1.9377474402730379</v>
      </c>
      <c r="O27" s="85">
        <v>1.3243243243243243</v>
      </c>
      <c r="P27" s="87">
        <v>1.2295373665480427</v>
      </c>
      <c r="Q27" s="28">
        <v>1.1199568965517241</v>
      </c>
      <c r="R27" s="85">
        <v>1.1875</v>
      </c>
      <c r="S27" s="85">
        <v>1.2107213114754098</v>
      </c>
      <c r="T27" s="85">
        <v>1.0323509933774835</v>
      </c>
      <c r="U27" s="85">
        <v>1.1884375</v>
      </c>
      <c r="V27" s="85">
        <f>'Check Now 26.17 Full Analysis'!I8</f>
        <v>0.97247706422018354</v>
      </c>
    </row>
    <row r="28" spans="2:22">
      <c r="B28" s="7" t="s">
        <v>15</v>
      </c>
      <c r="C28" s="42" t="s">
        <v>159</v>
      </c>
      <c r="D28" s="42" t="s">
        <v>159</v>
      </c>
      <c r="E28" s="42" t="s">
        <v>159</v>
      </c>
      <c r="F28" s="42" t="s">
        <v>159</v>
      </c>
      <c r="G28" s="42" t="s">
        <v>159</v>
      </c>
      <c r="H28" s="85">
        <v>0.76800000000000002</v>
      </c>
      <c r="I28" s="85">
        <v>0.86842105263157898</v>
      </c>
      <c r="J28" s="28">
        <v>0.84393063583815031</v>
      </c>
      <c r="K28" s="28">
        <f>'Check Now 26.17 Full Analysis'!H9</f>
        <v>0.91079812206572774</v>
      </c>
      <c r="M28" s="7" t="s">
        <v>15</v>
      </c>
      <c r="N28" s="42" t="s">
        <v>159</v>
      </c>
      <c r="O28" s="42" t="s">
        <v>159</v>
      </c>
      <c r="P28" s="42" t="s">
        <v>159</v>
      </c>
      <c r="Q28" s="42" t="s">
        <v>159</v>
      </c>
      <c r="R28" s="42" t="s">
        <v>159</v>
      </c>
      <c r="S28" s="85">
        <v>0.82857142857142863</v>
      </c>
      <c r="T28" s="85">
        <v>1.0428571428571429</v>
      </c>
      <c r="U28" s="85">
        <v>1.1857142857142857</v>
      </c>
      <c r="V28" s="85">
        <f>'Check Now 26.17 Full Analysis'!I9</f>
        <v>1.4214285714285715</v>
      </c>
    </row>
    <row r="30" spans="2:22" ht="16">
      <c r="B30" s="78" t="s">
        <v>167</v>
      </c>
      <c r="M30" s="78" t="s">
        <v>168</v>
      </c>
    </row>
    <row r="31" spans="2:22" ht="16">
      <c r="B31" s="74" t="s">
        <v>164</v>
      </c>
      <c r="C31" s="74" t="s">
        <v>147</v>
      </c>
      <c r="D31" s="74" t="s">
        <v>148</v>
      </c>
      <c r="E31" s="74" t="s">
        <v>149</v>
      </c>
      <c r="F31" s="74" t="s">
        <v>150</v>
      </c>
      <c r="G31" s="74" t="s">
        <v>151</v>
      </c>
      <c r="H31" s="74" t="s">
        <v>85</v>
      </c>
      <c r="I31" s="74" t="s">
        <v>126</v>
      </c>
      <c r="J31" s="74" t="s">
        <v>178</v>
      </c>
      <c r="K31" s="74" t="s">
        <v>302</v>
      </c>
      <c r="M31" s="74" t="s">
        <v>164</v>
      </c>
      <c r="N31" s="74" t="s">
        <v>147</v>
      </c>
      <c r="O31" s="74" t="s">
        <v>148</v>
      </c>
      <c r="P31" s="74" t="s">
        <v>149</v>
      </c>
      <c r="Q31" s="74" t="s">
        <v>150</v>
      </c>
      <c r="R31" s="74" t="s">
        <v>151</v>
      </c>
      <c r="S31" s="74" t="s">
        <v>85</v>
      </c>
      <c r="T31" s="74" t="s">
        <v>126</v>
      </c>
      <c r="U31" s="74" t="s">
        <v>178</v>
      </c>
      <c r="V31" s="74" t="s">
        <v>302</v>
      </c>
    </row>
    <row r="32" spans="2:22" ht="16">
      <c r="B32" s="4" t="s">
        <v>9</v>
      </c>
      <c r="C32" s="42">
        <v>0.22727272727272727</v>
      </c>
      <c r="D32" s="85">
        <v>0.4</v>
      </c>
      <c r="E32" s="85">
        <v>0.68965517241379315</v>
      </c>
      <c r="F32" s="72">
        <v>0.52</v>
      </c>
      <c r="G32" s="72">
        <v>0.6</v>
      </c>
      <c r="H32" s="72">
        <v>0.44186046511627908</v>
      </c>
      <c r="I32" s="72">
        <v>0.8571428571428571</v>
      </c>
      <c r="J32" s="72">
        <v>0.78431372549019607</v>
      </c>
      <c r="K32" s="72">
        <f>'Check Now 26.17 Full Analysis'!I20</f>
        <v>0.93220338983050843</v>
      </c>
      <c r="M32" s="4" t="s">
        <v>9</v>
      </c>
      <c r="N32" s="85">
        <v>0</v>
      </c>
      <c r="O32" s="85">
        <v>0.28000000000000003</v>
      </c>
      <c r="P32" s="87">
        <v>0.13793103448275862</v>
      </c>
      <c r="Q32" s="87">
        <v>0.16</v>
      </c>
      <c r="R32" s="85">
        <v>0.15</v>
      </c>
      <c r="S32" s="85">
        <v>0.20930232558139536</v>
      </c>
      <c r="T32" s="85">
        <v>7.1428571428571425E-2</v>
      </c>
      <c r="U32" s="85">
        <v>0</v>
      </c>
      <c r="V32" s="85">
        <f>'Check Now 26.17 Full Analysis'!H34</f>
        <v>1.6949152542372881E-2</v>
      </c>
    </row>
    <row r="33" spans="2:22" ht="16">
      <c r="B33" s="4" t="s">
        <v>8</v>
      </c>
      <c r="C33" s="42">
        <v>0.55000000000000004</v>
      </c>
      <c r="D33" s="85">
        <v>0.77500000000000002</v>
      </c>
      <c r="E33" s="85">
        <v>0.95918367346938771</v>
      </c>
      <c r="F33" s="72">
        <v>1</v>
      </c>
      <c r="G33" s="72">
        <v>1</v>
      </c>
      <c r="H33" s="72">
        <v>0.96153846153846156</v>
      </c>
      <c r="I33" s="72">
        <v>1</v>
      </c>
      <c r="J33" s="72">
        <v>1</v>
      </c>
      <c r="K33" s="72">
        <f>'Check Now 26.17 Full Analysis'!I21</f>
        <v>1</v>
      </c>
      <c r="M33" s="4" t="s">
        <v>8</v>
      </c>
      <c r="N33" s="85">
        <v>3.8461538461538464E-2</v>
      </c>
      <c r="O33" s="85">
        <v>0.05</v>
      </c>
      <c r="P33" s="87">
        <v>0</v>
      </c>
      <c r="Q33" s="87">
        <v>0</v>
      </c>
      <c r="R33" s="85">
        <v>0</v>
      </c>
      <c r="S33" s="85">
        <v>3.8461538461538464E-2</v>
      </c>
      <c r="T33" s="85">
        <v>0</v>
      </c>
      <c r="U33" s="85">
        <v>0</v>
      </c>
      <c r="V33" s="85">
        <f>'Check Now 26.17 Full Analysis'!H35</f>
        <v>0</v>
      </c>
    </row>
    <row r="34" spans="2:22" ht="16">
      <c r="B34" s="4" t="s">
        <v>13</v>
      </c>
      <c r="C34" s="42">
        <v>0.5</v>
      </c>
      <c r="D34" s="85">
        <v>0.76666666666666672</v>
      </c>
      <c r="E34" s="85">
        <v>0.56779661016949157</v>
      </c>
      <c r="F34" s="72">
        <v>0.78048780487804881</v>
      </c>
      <c r="G34" s="72">
        <v>0.8666666666666667</v>
      </c>
      <c r="H34" s="72">
        <v>0.73643410852713176</v>
      </c>
      <c r="I34" s="72">
        <v>0.84375</v>
      </c>
      <c r="J34" s="72">
        <v>0.75</v>
      </c>
      <c r="K34" s="72">
        <f>'Check Now 26.17 Full Analysis'!I22</f>
        <v>0.82352941176470584</v>
      </c>
      <c r="M34" s="4" t="s">
        <v>13</v>
      </c>
      <c r="N34" s="85">
        <v>0</v>
      </c>
      <c r="O34" s="85">
        <v>0.23333333333333334</v>
      </c>
      <c r="P34" s="87">
        <v>8.4745762711864403E-2</v>
      </c>
      <c r="Q34" s="87">
        <v>0.17073170731707318</v>
      </c>
      <c r="R34" s="85">
        <v>9.3333333333333338E-2</v>
      </c>
      <c r="S34" s="85">
        <v>0.11627906976744186</v>
      </c>
      <c r="T34" s="85">
        <v>6.25E-2</v>
      </c>
      <c r="U34" s="85">
        <v>0.10576923076923077</v>
      </c>
      <c r="V34" s="85">
        <f>'Check Now 26.17 Full Analysis'!H36</f>
        <v>1.9607843137254902E-2</v>
      </c>
    </row>
    <row r="35" spans="2:22">
      <c r="B35" s="7" t="s">
        <v>15</v>
      </c>
      <c r="C35" s="42" t="s">
        <v>159</v>
      </c>
      <c r="D35" s="42" t="s">
        <v>159</v>
      </c>
      <c r="E35" s="42" t="s">
        <v>159</v>
      </c>
      <c r="F35" s="42" t="s">
        <v>159</v>
      </c>
      <c r="G35" s="42" t="s">
        <v>159</v>
      </c>
      <c r="H35" s="85">
        <v>0.93333333333333335</v>
      </c>
      <c r="I35" s="85">
        <v>1</v>
      </c>
      <c r="J35" s="72">
        <v>0.86956521739130432</v>
      </c>
      <c r="K35" s="72">
        <f>'Check Now 26.17 Full Analysis'!I23</f>
        <v>0.96666666666666667</v>
      </c>
      <c r="M35" s="7" t="s">
        <v>15</v>
      </c>
      <c r="N35" s="42" t="s">
        <v>159</v>
      </c>
      <c r="O35" s="42" t="s">
        <v>159</v>
      </c>
      <c r="P35" s="42" t="s">
        <v>159</v>
      </c>
      <c r="Q35" s="42" t="s">
        <v>159</v>
      </c>
      <c r="R35" s="42" t="s">
        <v>159</v>
      </c>
      <c r="S35" s="85">
        <v>0</v>
      </c>
      <c r="T35" s="85">
        <v>0</v>
      </c>
      <c r="U35" s="85">
        <v>0</v>
      </c>
      <c r="V35" s="85">
        <f>'Check Now 26.17 Full Analysis'!H37</f>
        <v>0</v>
      </c>
    </row>
    <row r="37" spans="2:22" ht="16">
      <c r="M37" s="78" t="s">
        <v>169</v>
      </c>
    </row>
    <row r="38" spans="2:22" ht="16">
      <c r="M38" s="74" t="s">
        <v>164</v>
      </c>
      <c r="N38" s="74" t="s">
        <v>126</v>
      </c>
      <c r="O38" s="74" t="s">
        <v>178</v>
      </c>
      <c r="P38" s="74" t="s">
        <v>302</v>
      </c>
    </row>
    <row r="39" spans="2:22" ht="16">
      <c r="M39" s="4" t="s">
        <v>9</v>
      </c>
      <c r="N39" s="94">
        <v>0</v>
      </c>
      <c r="O39" s="103">
        <v>7.8431372549019607E-2</v>
      </c>
      <c r="P39" s="103">
        <f>'Check Now 26.17 Full Analysis'!H48</f>
        <v>5.0847457627118647E-2</v>
      </c>
    </row>
    <row r="40" spans="2:22" ht="16">
      <c r="M40" s="4" t="s">
        <v>8</v>
      </c>
      <c r="N40" s="94">
        <v>3.3333333333333333E-2</v>
      </c>
      <c r="O40" s="103">
        <v>9.6774193548387094E-2</v>
      </c>
      <c r="P40" s="103">
        <f>'Check Now 26.17 Full Analysis'!H49</f>
        <v>0.125</v>
      </c>
    </row>
    <row r="41" spans="2:22" ht="16">
      <c r="B41" s="88"/>
      <c r="C41" s="89"/>
      <c r="D41" s="90"/>
      <c r="E41" s="90"/>
      <c r="M41" s="4" t="s">
        <v>13</v>
      </c>
      <c r="N41" s="94">
        <v>8.3333333333333329E-2</v>
      </c>
      <c r="O41" s="103">
        <v>4.807692307692308E-2</v>
      </c>
      <c r="P41" s="103">
        <f>'Check Now 26.17 Full Analysis'!H50</f>
        <v>5.8823529411764705E-2</v>
      </c>
    </row>
    <row r="42" spans="2:22">
      <c r="M42" s="7" t="s">
        <v>15</v>
      </c>
      <c r="N42" s="94">
        <v>0</v>
      </c>
      <c r="O42" s="103">
        <v>0</v>
      </c>
      <c r="P42" s="103">
        <f>'Check Now 26.17 Full Analysis'!H51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0792-3832-BA43-BFA2-1D9BA7522845}">
  <dimension ref="B2:I73"/>
  <sheetViews>
    <sheetView workbookViewId="0">
      <selection activeCell="G28" sqref="G28"/>
    </sheetView>
  </sheetViews>
  <sheetFormatPr baseColWidth="10" defaultColWidth="16.83203125" defaultRowHeight="15"/>
  <cols>
    <col min="2" max="2" width="42.83203125" bestFit="1" customWidth="1"/>
    <col min="3" max="3" width="19.33203125" customWidth="1"/>
    <col min="4" max="4" width="17.33203125" bestFit="1" customWidth="1"/>
    <col min="5" max="5" width="14.6640625" bestFit="1" customWidth="1"/>
    <col min="6" max="6" width="7.5" customWidth="1"/>
    <col min="7" max="7" width="11.6640625" bestFit="1" customWidth="1"/>
    <col min="8" max="8" width="23.5" customWidth="1"/>
  </cols>
  <sheetData>
    <row r="2" spans="2:9" ht="16">
      <c r="B2" s="11" t="s">
        <v>303</v>
      </c>
    </row>
    <row r="3" spans="2:9" ht="16">
      <c r="B3" s="12" t="s">
        <v>304</v>
      </c>
    </row>
    <row r="5" spans="2:9" ht="16">
      <c r="B5" s="16" t="s">
        <v>127</v>
      </c>
      <c r="C5" s="16" t="s">
        <v>132</v>
      </c>
      <c r="D5" s="16" t="s">
        <v>134</v>
      </c>
      <c r="G5" s="38" t="s">
        <v>1</v>
      </c>
      <c r="H5" s="39" t="s">
        <v>132</v>
      </c>
      <c r="I5" s="39" t="s">
        <v>134</v>
      </c>
    </row>
    <row r="6" spans="2:9" ht="16">
      <c r="B6" s="26" t="s">
        <v>7</v>
      </c>
      <c r="C6" s="28">
        <f>'Check Now 26.17 Analysis'!P51</f>
        <v>0.35616438356164382</v>
      </c>
      <c r="D6" s="28">
        <f>'Check Now 26.17 Analysis'!Q51</f>
        <v>1</v>
      </c>
      <c r="G6" s="4" t="s">
        <v>9</v>
      </c>
      <c r="H6" s="28">
        <f>'Check Now 26.17 Analysis'!P88</f>
        <v>0.66122424388480527</v>
      </c>
      <c r="I6" s="28">
        <f>'Check Now 26.17 Analysis'!Q88</f>
        <v>1.5392118226600986</v>
      </c>
    </row>
    <row r="7" spans="2:9" ht="16">
      <c r="B7" s="26" t="s">
        <v>10</v>
      </c>
      <c r="C7" s="28">
        <f>'Check Now 26.17 Analysis'!P52</f>
        <v>0.57070707070707072</v>
      </c>
      <c r="D7" s="28">
        <f>'Check Now 26.17 Analysis'!Q52</f>
        <v>1.4285714285714286</v>
      </c>
      <c r="G7" s="4" t="s">
        <v>8</v>
      </c>
      <c r="H7" s="28">
        <f>'Check Now 26.17 Analysis'!P89</f>
        <v>0.70229007633587781</v>
      </c>
      <c r="I7" s="28">
        <f>'Check Now 26.17 Analysis'!Q89</f>
        <v>1.3333333333333333</v>
      </c>
    </row>
    <row r="8" spans="2:9" ht="16">
      <c r="B8" s="26" t="s">
        <v>12</v>
      </c>
      <c r="C8" s="28">
        <f>'Check Now 26.17 Analysis'!P53</f>
        <v>0.8</v>
      </c>
      <c r="D8" s="28">
        <f>'Check Now 26.17 Analysis'!Q53</f>
        <v>0.3888888888888889</v>
      </c>
      <c r="G8" s="4" t="s">
        <v>13</v>
      </c>
      <c r="H8" s="28">
        <f>'Check Now 26.17 Analysis'!P90</f>
        <v>0.68672199170124482</v>
      </c>
      <c r="I8" s="28">
        <f>'Check Now 26.17 Analysis'!Q90</f>
        <v>0.97247706422018354</v>
      </c>
    </row>
    <row r="9" spans="2:9">
      <c r="B9" s="26" t="s">
        <v>14</v>
      </c>
      <c r="C9" s="28">
        <f>'Check Now 26.17 Analysis'!P54</f>
        <v>0.91079812206572774</v>
      </c>
      <c r="D9" s="28">
        <f>'Check Now 26.17 Analysis'!Q54</f>
        <v>1.4214285714285715</v>
      </c>
      <c r="G9" s="7" t="s">
        <v>15</v>
      </c>
      <c r="H9" s="28">
        <f>'Check Now 26.17 Analysis'!P91</f>
        <v>0.91079812206572774</v>
      </c>
      <c r="I9" s="28">
        <f>'Check Now 26.17 Analysis'!Q91</f>
        <v>1.4214285714285715</v>
      </c>
    </row>
    <row r="10" spans="2:9">
      <c r="B10" s="26" t="s">
        <v>16</v>
      </c>
      <c r="C10" s="28">
        <f>'Check Now 26.17 Analysis'!P55</f>
        <v>0.61935483870967745</v>
      </c>
      <c r="D10" s="28">
        <f>'Check Now 26.17 Analysis'!Q55</f>
        <v>1.1000000000000001</v>
      </c>
      <c r="G10" s="25" t="s">
        <v>128</v>
      </c>
      <c r="H10" s="37">
        <f>'Check Now 26.17 Analysis'!P92</f>
        <v>0.70741189216748457</v>
      </c>
      <c r="I10" s="37">
        <f>'Check Now 26.17 Analysis'!Q92</f>
        <v>1.2881764705882353</v>
      </c>
    </row>
    <row r="11" spans="2:9">
      <c r="B11" s="26" t="s">
        <v>18</v>
      </c>
      <c r="C11" s="28">
        <f>'Check Now 26.17 Analysis'!P56</f>
        <v>0.90384615384615385</v>
      </c>
      <c r="D11" s="28">
        <f>'Check Now 26.17 Analysis'!Q56</f>
        <v>1.8571428571428572</v>
      </c>
    </row>
    <row r="12" spans="2:9">
      <c r="B12" s="26" t="s">
        <v>20</v>
      </c>
      <c r="C12" s="28">
        <f>'Check Now 26.17 Analysis'!P57</f>
        <v>0.75294117647058822</v>
      </c>
      <c r="D12" s="28">
        <f>'Check Now 26.17 Analysis'!Q57</f>
        <v>1.2142857142857142</v>
      </c>
    </row>
    <row r="13" spans="2:9">
      <c r="B13" s="26" t="s">
        <v>217</v>
      </c>
      <c r="C13" s="28">
        <f>'Check Now 26.17 Analysis'!P58</f>
        <v>0.52857614800132147</v>
      </c>
      <c r="D13" s="28">
        <f>'Check Now 26.17 Analysis'!Q58</f>
        <v>1.5975714285714286</v>
      </c>
    </row>
    <row r="14" spans="2:9">
      <c r="B14" s="26" t="s">
        <v>21</v>
      </c>
      <c r="C14" s="28">
        <f>'Check Now 26.17 Analysis'!P59</f>
        <v>0.98989898989898994</v>
      </c>
      <c r="D14" s="28">
        <f>'Check Now 26.17 Analysis'!Q59</f>
        <v>0.63265306122448983</v>
      </c>
    </row>
    <row r="15" spans="2:9">
      <c r="B15" s="26" t="s">
        <v>22</v>
      </c>
      <c r="C15" s="28">
        <f>'Check Now 26.17 Analysis'!P60</f>
        <v>0.76447345816869949</v>
      </c>
      <c r="D15" s="28">
        <f>'Check Now 26.17 Analysis'!Q60</f>
        <v>1.5702857142857143</v>
      </c>
    </row>
    <row r="16" spans="2:9">
      <c r="B16" s="26" t="s">
        <v>23</v>
      </c>
      <c r="C16" s="28">
        <f>'Check Now 26.17 Analysis'!P61</f>
        <v>0.70400169383866185</v>
      </c>
      <c r="D16" s="28">
        <f>'Check Now 26.17 Analysis'!Q61</f>
        <v>1.4398412698412699</v>
      </c>
    </row>
    <row r="17" spans="2:9" ht="16">
      <c r="B17" s="16" t="s">
        <v>128</v>
      </c>
      <c r="C17" s="29">
        <f>'Check Now 26.17 Analysis'!P62</f>
        <v>0.70741189216748457</v>
      </c>
      <c r="D17" s="29">
        <f>'Check Now 26.17 Analysis'!Q62</f>
        <v>1.2881764705882353</v>
      </c>
    </row>
    <row r="19" spans="2:9" ht="16">
      <c r="B19" s="16" t="s">
        <v>127</v>
      </c>
      <c r="C19" s="16" t="s">
        <v>128</v>
      </c>
      <c r="D19" s="16" t="s">
        <v>135</v>
      </c>
      <c r="G19" s="39" t="s">
        <v>127</v>
      </c>
      <c r="H19" s="39" t="s">
        <v>128</v>
      </c>
      <c r="I19" s="39" t="s">
        <v>135</v>
      </c>
    </row>
    <row r="20" spans="2:9" ht="16">
      <c r="B20" s="26" t="s">
        <v>7</v>
      </c>
      <c r="C20" s="7">
        <f>'Check Now 26.17 Analysis'!P95</f>
        <v>4</v>
      </c>
      <c r="D20" s="42">
        <f>'Check Now 26.17 Analysis'!Q95</f>
        <v>1</v>
      </c>
      <c r="G20" s="4" t="s">
        <v>9</v>
      </c>
      <c r="H20" s="7">
        <f>'Check Now 26.17 Analysis'!P132</f>
        <v>59</v>
      </c>
      <c r="I20" s="42">
        <f>'Check Now 26.17 Analysis'!Q132</f>
        <v>0.93220338983050843</v>
      </c>
    </row>
    <row r="21" spans="2:9" ht="16">
      <c r="B21" s="26" t="s">
        <v>10</v>
      </c>
      <c r="C21" s="7">
        <f>'Check Now 26.17 Analysis'!P96</f>
        <v>20</v>
      </c>
      <c r="D21" s="42">
        <f>'Check Now 26.17 Analysis'!Q96</f>
        <v>0.8</v>
      </c>
      <c r="G21" s="4" t="s">
        <v>8</v>
      </c>
      <c r="H21" s="7">
        <f>'Check Now 26.17 Analysis'!P133</f>
        <v>32</v>
      </c>
      <c r="I21" s="42">
        <f>'Check Now 26.17 Analysis'!Q133</f>
        <v>1</v>
      </c>
    </row>
    <row r="22" spans="2:9" ht="16">
      <c r="B22" s="26" t="s">
        <v>12</v>
      </c>
      <c r="C22" s="7">
        <f>'Check Now 26.17 Analysis'!P97</f>
        <v>3</v>
      </c>
      <c r="D22" s="42">
        <f>'Check Now 26.17 Analysis'!Q97</f>
        <v>1</v>
      </c>
      <c r="G22" s="4" t="s">
        <v>13</v>
      </c>
      <c r="H22" s="7">
        <f>'Check Now 26.17 Analysis'!P134</f>
        <v>51</v>
      </c>
      <c r="I22" s="42">
        <f>'Check Now 26.17 Analysis'!Q134</f>
        <v>0.82352941176470584</v>
      </c>
    </row>
    <row r="23" spans="2:9">
      <c r="B23" s="26" t="s">
        <v>14</v>
      </c>
      <c r="C23" s="7">
        <f>'Check Now 26.17 Analysis'!P98</f>
        <v>30</v>
      </c>
      <c r="D23" s="42">
        <f>'Check Now 26.17 Analysis'!Q98</f>
        <v>0.96666666666666667</v>
      </c>
      <c r="G23" s="7" t="s">
        <v>15</v>
      </c>
      <c r="H23" s="7">
        <f>'Check Now 26.17 Analysis'!P135</f>
        <v>30</v>
      </c>
      <c r="I23" s="42">
        <f>'Check Now 26.17 Analysis'!Q135</f>
        <v>0.96666666666666667</v>
      </c>
    </row>
    <row r="24" spans="2:9" ht="16">
      <c r="B24" s="26" t="s">
        <v>16</v>
      </c>
      <c r="C24" s="7">
        <f>'Check Now 26.17 Analysis'!P99</f>
        <v>14</v>
      </c>
      <c r="D24" s="42">
        <f>'Check Now 26.17 Analysis'!Q99</f>
        <v>1</v>
      </c>
      <c r="G24" s="39" t="s">
        <v>128</v>
      </c>
      <c r="H24" s="25">
        <f>'Check Now 26.17 Analysis'!P136</f>
        <v>172</v>
      </c>
      <c r="I24" s="102">
        <f>'Check Now 26.17 Analysis'!Q136</f>
        <v>0.91860465116279066</v>
      </c>
    </row>
    <row r="25" spans="2:9">
      <c r="B25" s="26" t="s">
        <v>18</v>
      </c>
      <c r="C25" s="7">
        <f>'Check Now 26.17 Analysis'!P100</f>
        <v>17</v>
      </c>
      <c r="D25" s="42">
        <f>'Check Now 26.17 Analysis'!Q100</f>
        <v>1</v>
      </c>
    </row>
    <row r="26" spans="2:9">
      <c r="B26" s="26" t="s">
        <v>20</v>
      </c>
      <c r="C26" s="7">
        <f>'Check Now 26.17 Analysis'!P101</f>
        <v>11</v>
      </c>
      <c r="D26" s="42">
        <f>'Check Now 26.17 Analysis'!Q101</f>
        <v>1</v>
      </c>
    </row>
    <row r="27" spans="2:9">
      <c r="B27" s="26" t="s">
        <v>217</v>
      </c>
      <c r="C27" s="7">
        <f>'Check Now 26.17 Analysis'!P102</f>
        <v>19</v>
      </c>
      <c r="D27" s="42">
        <f>'Check Now 26.17 Analysis'!Q102</f>
        <v>0.78947368421052633</v>
      </c>
    </row>
    <row r="28" spans="2:9">
      <c r="B28" s="26" t="s">
        <v>21</v>
      </c>
      <c r="C28" s="7">
        <f>'Check Now 26.17 Analysis'!P103</f>
        <v>14</v>
      </c>
      <c r="D28" s="42">
        <f>'Check Now 26.17 Analysis'!Q103</f>
        <v>0.6428571428571429</v>
      </c>
    </row>
    <row r="29" spans="2:9">
      <c r="B29" s="26" t="s">
        <v>22</v>
      </c>
      <c r="C29" s="7">
        <f>'Check Now 26.17 Analysis'!P104</f>
        <v>16</v>
      </c>
      <c r="D29" s="42">
        <f>'Check Now 26.17 Analysis'!Q104</f>
        <v>1</v>
      </c>
    </row>
    <row r="30" spans="2:9">
      <c r="B30" s="26" t="s">
        <v>23</v>
      </c>
      <c r="C30" s="7">
        <f>'Check Now 26.17 Analysis'!P105</f>
        <v>24</v>
      </c>
      <c r="D30" s="42">
        <f>'Check Now 26.17 Analysis'!Q105</f>
        <v>1</v>
      </c>
    </row>
    <row r="31" spans="2:9" ht="16">
      <c r="B31" s="16" t="s">
        <v>128</v>
      </c>
      <c r="C31" s="47">
        <f>'Check Now 26.17 Analysis'!P106</f>
        <v>172</v>
      </c>
      <c r="D31" s="101">
        <f>'Check Now 26.17 Analysis'!Q106</f>
        <v>0.91860465116279066</v>
      </c>
    </row>
    <row r="33" spans="2:8" ht="16">
      <c r="B33" s="45" t="s">
        <v>0</v>
      </c>
      <c r="C33" s="16" t="s">
        <v>1</v>
      </c>
      <c r="D33" s="16" t="s">
        <v>137</v>
      </c>
      <c r="G33" s="25" t="s">
        <v>1</v>
      </c>
      <c r="H33" s="39" t="s">
        <v>137</v>
      </c>
    </row>
    <row r="34" spans="2:8" ht="16">
      <c r="B34" s="26" t="s">
        <v>7</v>
      </c>
      <c r="C34" s="5" t="s">
        <v>8</v>
      </c>
      <c r="D34" s="94">
        <f>'Check Now 26.17 Analysis'!Q140</f>
        <v>0</v>
      </c>
      <c r="G34" s="4" t="s">
        <v>9</v>
      </c>
      <c r="H34" s="94">
        <f>'Check Now 26.17 Analysis'!P181</f>
        <v>1.6949152542372881E-2</v>
      </c>
    </row>
    <row r="35" spans="2:8" ht="16">
      <c r="B35" s="26" t="s">
        <v>10</v>
      </c>
      <c r="C35" s="5" t="s">
        <v>11</v>
      </c>
      <c r="D35" s="94">
        <f>'Check Now 26.17 Analysis'!Q141</f>
        <v>0</v>
      </c>
      <c r="G35" s="4" t="s">
        <v>8</v>
      </c>
      <c r="H35" s="94">
        <f>'Check Now 26.17 Analysis'!P182</f>
        <v>0</v>
      </c>
    </row>
    <row r="36" spans="2:8" ht="16">
      <c r="B36" s="26" t="s">
        <v>12</v>
      </c>
      <c r="C36" s="5" t="s">
        <v>11</v>
      </c>
      <c r="D36" s="94">
        <f>'Check Now 26.17 Analysis'!Q142</f>
        <v>0</v>
      </c>
      <c r="G36" s="4" t="s">
        <v>13</v>
      </c>
      <c r="H36" s="94">
        <f>'Check Now 26.17 Analysis'!P183</f>
        <v>1.9607843137254902E-2</v>
      </c>
    </row>
    <row r="37" spans="2:8" ht="16">
      <c r="B37" s="26" t="s">
        <v>14</v>
      </c>
      <c r="C37" s="5" t="s">
        <v>15</v>
      </c>
      <c r="D37" s="94">
        <f>'Check Now 26.17 Analysis'!Q143</f>
        <v>0</v>
      </c>
      <c r="G37" s="7" t="s">
        <v>15</v>
      </c>
      <c r="H37" s="94">
        <f>'Check Now 26.17 Analysis'!P184</f>
        <v>0</v>
      </c>
    </row>
    <row r="38" spans="2:8" ht="16">
      <c r="B38" s="26" t="s">
        <v>16</v>
      </c>
      <c r="C38" s="5" t="s">
        <v>11</v>
      </c>
      <c r="D38" s="94">
        <f>'Check Now 26.17 Analysis'!Q144</f>
        <v>7.1428571428571425E-2</v>
      </c>
      <c r="G38" s="25" t="s">
        <v>128</v>
      </c>
      <c r="H38" s="50">
        <f>'Check Now 26.17 Analysis'!P185</f>
        <v>1.1627906976744186E-2</v>
      </c>
    </row>
    <row r="39" spans="2:8" ht="16">
      <c r="B39" s="26" t="s">
        <v>18</v>
      </c>
      <c r="C39" s="5" t="s">
        <v>8</v>
      </c>
      <c r="D39" s="94">
        <f>'Check Now 26.17 Analysis'!Q145</f>
        <v>0</v>
      </c>
    </row>
    <row r="40" spans="2:8" ht="16">
      <c r="B40" s="26" t="s">
        <v>20</v>
      </c>
      <c r="C40" s="5" t="s">
        <v>8</v>
      </c>
      <c r="D40" s="94">
        <f>'Check Now 26.17 Analysis'!Q146</f>
        <v>0</v>
      </c>
    </row>
    <row r="41" spans="2:8" ht="16">
      <c r="B41" s="26" t="s">
        <v>217</v>
      </c>
      <c r="C41" s="5" t="s">
        <v>9</v>
      </c>
      <c r="D41" s="94">
        <f>'Check Now 26.17 Analysis'!Q147</f>
        <v>0</v>
      </c>
    </row>
    <row r="42" spans="2:8" ht="16">
      <c r="B42" s="26" t="s">
        <v>21</v>
      </c>
      <c r="C42" s="5" t="s">
        <v>11</v>
      </c>
      <c r="D42" s="94">
        <f>'Check Now 26.17 Analysis'!Q148</f>
        <v>0</v>
      </c>
    </row>
    <row r="43" spans="2:8" ht="16">
      <c r="B43" s="26" t="s">
        <v>22</v>
      </c>
      <c r="C43" s="5" t="s">
        <v>9</v>
      </c>
      <c r="D43" s="94">
        <f>'Check Now 26.17 Analysis'!Q149</f>
        <v>0</v>
      </c>
    </row>
    <row r="44" spans="2:8" ht="16">
      <c r="B44" s="26" t="s">
        <v>23</v>
      </c>
      <c r="C44" s="5" t="s">
        <v>9</v>
      </c>
      <c r="D44" s="94">
        <f>'Check Now 26.17 Analysis'!Q150</f>
        <v>4.1666666666666664E-2</v>
      </c>
    </row>
    <row r="45" spans="2:8">
      <c r="B45" s="47" t="s">
        <v>128</v>
      </c>
      <c r="D45" s="101">
        <f>'Check Now 26.17 Analysis'!Q151</f>
        <v>1.1627906976744186E-2</v>
      </c>
    </row>
    <row r="47" spans="2:8" ht="16">
      <c r="B47" s="45" t="s">
        <v>0</v>
      </c>
      <c r="C47" s="16" t="s">
        <v>1</v>
      </c>
      <c r="D47" s="16" t="s">
        <v>138</v>
      </c>
      <c r="G47" s="25" t="s">
        <v>1</v>
      </c>
      <c r="H47" s="39" t="s">
        <v>138</v>
      </c>
    </row>
    <row r="48" spans="2:8" ht="16">
      <c r="B48" s="26" t="s">
        <v>7</v>
      </c>
      <c r="C48" s="5" t="s">
        <v>8</v>
      </c>
      <c r="D48" s="94">
        <f>'Check Now 26.17 Analysis'!Q190</f>
        <v>0</v>
      </c>
      <c r="G48" s="4" t="s">
        <v>9</v>
      </c>
      <c r="H48" s="94">
        <f>'Check Now 26.17 Analysis'!P231</f>
        <v>5.0847457627118647E-2</v>
      </c>
    </row>
    <row r="49" spans="2:8" ht="16">
      <c r="B49" s="26" t="s">
        <v>10</v>
      </c>
      <c r="C49" s="5" t="s">
        <v>11</v>
      </c>
      <c r="D49" s="94">
        <f>'Check Now 26.17 Analysis'!Q191</f>
        <v>0.15</v>
      </c>
      <c r="G49" s="4" t="s">
        <v>8</v>
      </c>
      <c r="H49" s="94">
        <f>'Check Now 26.17 Analysis'!P232</f>
        <v>0.125</v>
      </c>
    </row>
    <row r="50" spans="2:8" ht="16">
      <c r="B50" s="26" t="s">
        <v>12</v>
      </c>
      <c r="C50" s="5" t="s">
        <v>11</v>
      </c>
      <c r="D50" s="94">
        <f>'Check Now 26.17 Analysis'!Q192</f>
        <v>0</v>
      </c>
      <c r="G50" s="4" t="s">
        <v>13</v>
      </c>
      <c r="H50" s="94">
        <f>'Check Now 26.17 Analysis'!P233</f>
        <v>5.8823529411764705E-2</v>
      </c>
    </row>
    <row r="51" spans="2:8" ht="16">
      <c r="B51" s="26" t="s">
        <v>14</v>
      </c>
      <c r="C51" s="5" t="s">
        <v>15</v>
      </c>
      <c r="D51" s="94">
        <f>'Check Now 26.17 Analysis'!Q193</f>
        <v>0</v>
      </c>
      <c r="G51" s="7" t="s">
        <v>15</v>
      </c>
      <c r="H51" s="94">
        <f>'Check Now 26.17 Analysis'!P234</f>
        <v>0</v>
      </c>
    </row>
    <row r="52" spans="2:8" ht="16">
      <c r="B52" s="26" t="s">
        <v>16</v>
      </c>
      <c r="C52" s="5" t="s">
        <v>11</v>
      </c>
      <c r="D52" s="94">
        <f>'Check Now 26.17 Analysis'!Q194</f>
        <v>0</v>
      </c>
      <c r="G52" s="25" t="s">
        <v>128</v>
      </c>
      <c r="H52" s="50">
        <f>'Check Now 26.17 Analysis'!P235</f>
        <v>5.8139534883720929E-2</v>
      </c>
    </row>
    <row r="53" spans="2:8" ht="16">
      <c r="B53" s="26" t="s">
        <v>18</v>
      </c>
      <c r="C53" s="5" t="s">
        <v>8</v>
      </c>
      <c r="D53" s="94">
        <f>'Check Now 26.17 Analysis'!Q195</f>
        <v>5.8823529411764705E-2</v>
      </c>
    </row>
    <row r="54" spans="2:8" ht="16">
      <c r="B54" s="26" t="s">
        <v>20</v>
      </c>
      <c r="C54" s="5" t="s">
        <v>8</v>
      </c>
      <c r="D54" s="94">
        <f>'Check Now 26.17 Analysis'!Q196</f>
        <v>0.27272727272727271</v>
      </c>
    </row>
    <row r="55" spans="2:8" ht="16">
      <c r="B55" s="26" t="s">
        <v>217</v>
      </c>
      <c r="C55" s="5" t="s">
        <v>9</v>
      </c>
      <c r="D55" s="94">
        <f>'Check Now 26.17 Analysis'!Q197</f>
        <v>0</v>
      </c>
    </row>
    <row r="56" spans="2:8" ht="16">
      <c r="B56" s="26" t="s">
        <v>21</v>
      </c>
      <c r="C56" s="5" t="s">
        <v>11</v>
      </c>
      <c r="D56" s="94">
        <f>'Check Now 26.17 Analysis'!Q198</f>
        <v>0</v>
      </c>
    </row>
    <row r="57" spans="2:8" ht="16">
      <c r="B57" s="26" t="s">
        <v>22</v>
      </c>
      <c r="C57" s="5" t="s">
        <v>9</v>
      </c>
      <c r="D57" s="94">
        <f>'Check Now 26.17 Analysis'!Q199</f>
        <v>0</v>
      </c>
    </row>
    <row r="58" spans="2:8" ht="16">
      <c r="B58" s="26" t="s">
        <v>23</v>
      </c>
      <c r="C58" s="5" t="s">
        <v>9</v>
      </c>
      <c r="D58" s="94">
        <f>'Check Now 26.17 Analysis'!Q200</f>
        <v>0.125</v>
      </c>
    </row>
    <row r="59" spans="2:8">
      <c r="B59" s="47" t="s">
        <v>128</v>
      </c>
      <c r="D59" s="48">
        <f>'Check Now 26.17 Analysis'!Q201</f>
        <v>5.8139534883720929E-2</v>
      </c>
    </row>
    <row r="61" spans="2:8" ht="16">
      <c r="B61" s="1" t="s">
        <v>0</v>
      </c>
      <c r="C61" s="1" t="s">
        <v>1</v>
      </c>
      <c r="D61" s="1" t="s">
        <v>142</v>
      </c>
      <c r="E61" s="1" t="s">
        <v>143</v>
      </c>
    </row>
    <row r="62" spans="2:8" ht="16">
      <c r="B62" s="26" t="s">
        <v>7</v>
      </c>
      <c r="C62" s="5" t="s">
        <v>8</v>
      </c>
      <c r="D62" s="52">
        <f>'Check Now 26.17 Analysis'!J239</f>
        <v>1</v>
      </c>
      <c r="E62" s="52">
        <f>'Check Now 26.17 Analysis'!K239</f>
        <v>2.4230769230769229</v>
      </c>
    </row>
    <row r="63" spans="2:8" ht="16">
      <c r="B63" s="26" t="s">
        <v>10</v>
      </c>
      <c r="C63" s="5" t="s">
        <v>11</v>
      </c>
      <c r="D63" s="52">
        <f>'Check Now 26.17 Analysis'!J240</f>
        <v>1.4285714285714286</v>
      </c>
      <c r="E63" s="52">
        <f>'Check Now 26.17 Analysis'!K240</f>
        <v>1.5929203539823009</v>
      </c>
    </row>
    <row r="64" spans="2:8" ht="16">
      <c r="B64" s="26" t="s">
        <v>12</v>
      </c>
      <c r="C64" s="5" t="s">
        <v>11</v>
      </c>
      <c r="D64" s="52">
        <f>'Check Now 26.17 Analysis'!J241</f>
        <v>0.3888888888888889</v>
      </c>
      <c r="E64" s="52">
        <f>'Check Now 26.17 Analysis'!K241</f>
        <v>1.1666666666666667</v>
      </c>
    </row>
    <row r="65" spans="2:5" ht="16">
      <c r="B65" s="26" t="s">
        <v>14</v>
      </c>
      <c r="C65" s="5" t="s">
        <v>15</v>
      </c>
      <c r="D65" s="52">
        <f>'Check Now 26.17 Analysis'!J242</f>
        <v>1.4214285714285715</v>
      </c>
      <c r="E65" s="52">
        <f>'Check Now 26.17 Analysis'!K242</f>
        <v>1.0257731958762886</v>
      </c>
    </row>
    <row r="66" spans="2:5" ht="16">
      <c r="B66" s="26" t="s">
        <v>16</v>
      </c>
      <c r="C66" s="5" t="s">
        <v>11</v>
      </c>
      <c r="D66" s="52">
        <f>'Check Now 26.17 Analysis'!J243</f>
        <v>1.1000000000000001</v>
      </c>
      <c r="E66" s="52">
        <f>'Check Now 26.17 Analysis'!K243</f>
        <v>1.6041666666666667</v>
      </c>
    </row>
    <row r="67" spans="2:5" ht="16">
      <c r="B67" s="26" t="s">
        <v>18</v>
      </c>
      <c r="C67" s="5" t="s">
        <v>8</v>
      </c>
      <c r="D67" s="52">
        <f>'Check Now 26.17 Analysis'!J244</f>
        <v>1.8571428571428572</v>
      </c>
      <c r="E67" s="52">
        <f>'Check Now 26.17 Analysis'!K244</f>
        <v>1.1063829787234043</v>
      </c>
    </row>
    <row r="68" spans="2:5" ht="16">
      <c r="B68" s="26" t="s">
        <v>20</v>
      </c>
      <c r="C68" s="5" t="s">
        <v>8</v>
      </c>
      <c r="D68" s="52">
        <f>'Check Now 26.17 Analysis'!J245</f>
        <v>1.2142857142857142</v>
      </c>
      <c r="E68" s="52">
        <f>'Check Now 26.17 Analysis'!K245</f>
        <v>1.328125</v>
      </c>
    </row>
    <row r="69" spans="2:5" ht="16">
      <c r="B69" s="26" t="s">
        <v>217</v>
      </c>
      <c r="C69" s="5" t="s">
        <v>9</v>
      </c>
      <c r="D69" s="52">
        <f>'Check Now 26.17 Analysis'!J246</f>
        <v>1.5975714285714286</v>
      </c>
      <c r="E69" s="52">
        <f>'Check Now 26.17 Analysis'!K246</f>
        <v>1.74734375</v>
      </c>
    </row>
    <row r="70" spans="2:5" ht="16">
      <c r="B70" s="26" t="s">
        <v>21</v>
      </c>
      <c r="C70" s="5" t="s">
        <v>11</v>
      </c>
      <c r="D70" s="52">
        <f>'Check Now 26.17 Analysis'!J247</f>
        <v>0.63265306122448983</v>
      </c>
      <c r="E70" s="52">
        <f>'Check Now 26.17 Analysis'!K247</f>
        <v>0.63265306122448983</v>
      </c>
    </row>
    <row r="71" spans="2:5" ht="16">
      <c r="B71" s="26" t="s">
        <v>22</v>
      </c>
      <c r="C71" s="5" t="s">
        <v>9</v>
      </c>
      <c r="D71" s="52">
        <f>'Check Now 26.17 Analysis'!J248</f>
        <v>1.5702857142857143</v>
      </c>
      <c r="E71" s="52">
        <f>'Check Now 26.17 Analysis'!K248</f>
        <v>1.2350561797752808</v>
      </c>
    </row>
    <row r="72" spans="2:5" ht="16">
      <c r="B72" s="26" t="s">
        <v>23</v>
      </c>
      <c r="C72" s="5" t="s">
        <v>9</v>
      </c>
      <c r="D72" s="52">
        <f>'Check Now 26.17 Analysis'!J249</f>
        <v>1.4398412698412699</v>
      </c>
      <c r="E72" s="52">
        <f>'Check Now 26.17 Analysis'!K249</f>
        <v>1.36406015037594</v>
      </c>
    </row>
    <row r="73" spans="2:5">
      <c r="B73" s="47" t="s">
        <v>128</v>
      </c>
      <c r="D73" s="30">
        <f>'Check Now 26.17 Analysis'!J250</f>
        <v>1.2881764705882353</v>
      </c>
      <c r="E73" s="30">
        <f>'Check Now 26.17 Analysis'!K250</f>
        <v>1.3152552552552552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BCC5-FBEF-2A4A-AA14-FE59D2564CF9}">
  <dimension ref="B2:I21"/>
  <sheetViews>
    <sheetView workbookViewId="0">
      <selection activeCell="G40" sqref="G40"/>
    </sheetView>
  </sheetViews>
  <sheetFormatPr baseColWidth="10" defaultColWidth="14.33203125" defaultRowHeight="15"/>
  <cols>
    <col min="1" max="1" width="3.33203125" customWidth="1"/>
    <col min="2" max="2" width="42.83203125" bestFit="1" customWidth="1"/>
    <col min="3" max="3" width="15.1640625" bestFit="1" customWidth="1"/>
    <col min="4" max="4" width="6.5" bestFit="1" customWidth="1"/>
    <col min="5" max="5" width="15.33203125" bestFit="1" customWidth="1"/>
    <col min="6" max="6" width="6.5" bestFit="1" customWidth="1"/>
    <col min="7" max="7" width="11.83203125" bestFit="1" customWidth="1"/>
    <col min="8" max="8" width="6.5" bestFit="1" customWidth="1"/>
    <col min="9" max="9" width="7.1640625" bestFit="1" customWidth="1"/>
  </cols>
  <sheetData>
    <row r="2" spans="2:9" ht="16">
      <c r="B2" s="47" t="s">
        <v>127</v>
      </c>
      <c r="C2" s="27" t="s">
        <v>132</v>
      </c>
      <c r="D2" s="53" t="s">
        <v>144</v>
      </c>
      <c r="E2" s="27" t="s">
        <v>134</v>
      </c>
      <c r="F2" s="53" t="s">
        <v>144</v>
      </c>
      <c r="G2" s="16" t="s">
        <v>135</v>
      </c>
      <c r="H2" s="53" t="s">
        <v>144</v>
      </c>
      <c r="I2" s="54" t="s">
        <v>145</v>
      </c>
    </row>
    <row r="3" spans="2:9">
      <c r="B3" s="26" t="s">
        <v>7</v>
      </c>
      <c r="C3" s="28">
        <f>'Check Now 26.17 Analysis'!P51</f>
        <v>0.35616438356164382</v>
      </c>
      <c r="D3" s="55">
        <v>0.2</v>
      </c>
      <c r="E3" s="28">
        <f>'Check Now 26.17 Analysis'!Q51</f>
        <v>1</v>
      </c>
      <c r="F3" s="56">
        <v>0.1</v>
      </c>
      <c r="G3" s="28">
        <f>'Check Now 26.17 Analysis'!Q95</f>
        <v>1</v>
      </c>
      <c r="H3" s="56">
        <v>0.7</v>
      </c>
      <c r="I3" s="104">
        <f>(C3*D3)+(E3*F3)+(G3*H3)</f>
        <v>0.87123287671232874</v>
      </c>
    </row>
    <row r="4" spans="2:9">
      <c r="B4" s="26" t="s">
        <v>10</v>
      </c>
      <c r="C4" s="28">
        <f>'Check Now 26.17 Analysis'!P52</f>
        <v>0.57070707070707072</v>
      </c>
      <c r="D4" s="55">
        <v>0.2</v>
      </c>
      <c r="E4" s="28">
        <f>'Check Now 26.17 Analysis'!Q52</f>
        <v>1.4285714285714286</v>
      </c>
      <c r="F4" s="56">
        <v>0.1</v>
      </c>
      <c r="G4" s="28">
        <f>'Check Now 26.17 Analysis'!Q96</f>
        <v>0.8</v>
      </c>
      <c r="H4" s="56">
        <v>0.7</v>
      </c>
      <c r="I4" s="104">
        <f t="shared" ref="I4:I14" si="0">(C4*D4)+(E4*F4)+(G4*H4)</f>
        <v>0.81699855699855695</v>
      </c>
    </row>
    <row r="5" spans="2:9">
      <c r="B5" s="26" t="s">
        <v>12</v>
      </c>
      <c r="C5" s="28">
        <f>'Check Now 26.17 Analysis'!P53</f>
        <v>0.8</v>
      </c>
      <c r="D5" s="55">
        <v>0.2</v>
      </c>
      <c r="E5" s="28">
        <f>'Check Now 26.17 Analysis'!Q53</f>
        <v>0.3888888888888889</v>
      </c>
      <c r="F5" s="56">
        <v>0.1</v>
      </c>
      <c r="G5" s="28">
        <f>'Check Now 26.17 Analysis'!Q97</f>
        <v>1</v>
      </c>
      <c r="H5" s="56">
        <v>0.7</v>
      </c>
      <c r="I5" s="104">
        <f t="shared" si="0"/>
        <v>0.89888888888888885</v>
      </c>
    </row>
    <row r="6" spans="2:9">
      <c r="B6" s="26" t="s">
        <v>14</v>
      </c>
      <c r="C6" s="28">
        <f>'Check Now 26.17 Analysis'!P54</f>
        <v>0.91079812206572774</v>
      </c>
      <c r="D6" s="55">
        <v>0.2</v>
      </c>
      <c r="E6" s="28">
        <f>'Check Now 26.17 Analysis'!Q54</f>
        <v>1.4214285714285715</v>
      </c>
      <c r="F6" s="56">
        <v>0.1</v>
      </c>
      <c r="G6" s="28">
        <f>'Check Now 26.17 Analysis'!Q98</f>
        <v>0.96666666666666667</v>
      </c>
      <c r="H6" s="56">
        <v>0.7</v>
      </c>
      <c r="I6" s="104">
        <f t="shared" si="0"/>
        <v>1.0009691482226692</v>
      </c>
    </row>
    <row r="7" spans="2:9">
      <c r="B7" s="26" t="s">
        <v>16</v>
      </c>
      <c r="C7" s="28">
        <f>'Check Now 26.17 Analysis'!P55</f>
        <v>0.61935483870967745</v>
      </c>
      <c r="D7" s="55">
        <v>0.2</v>
      </c>
      <c r="E7" s="28">
        <f>'Check Now 26.17 Analysis'!Q55</f>
        <v>1.1000000000000001</v>
      </c>
      <c r="F7" s="56">
        <v>0.1</v>
      </c>
      <c r="G7" s="28">
        <f>'Check Now 26.17 Analysis'!Q99</f>
        <v>1</v>
      </c>
      <c r="H7" s="56">
        <v>0.7</v>
      </c>
      <c r="I7" s="104">
        <f t="shared" si="0"/>
        <v>0.93387096774193545</v>
      </c>
    </row>
    <row r="8" spans="2:9">
      <c r="B8" s="26" t="s">
        <v>18</v>
      </c>
      <c r="C8" s="28">
        <f>'Check Now 26.17 Analysis'!P56</f>
        <v>0.90384615384615385</v>
      </c>
      <c r="D8" s="55">
        <v>0.2</v>
      </c>
      <c r="E8" s="28">
        <f>'Check Now 26.17 Analysis'!Q56</f>
        <v>1.8571428571428572</v>
      </c>
      <c r="F8" s="56">
        <v>0.1</v>
      </c>
      <c r="G8" s="28">
        <f>'Check Now 26.17 Analysis'!Q100</f>
        <v>1</v>
      </c>
      <c r="H8" s="56">
        <v>0.7</v>
      </c>
      <c r="I8" s="104">
        <f t="shared" si="0"/>
        <v>1.0664835164835165</v>
      </c>
    </row>
    <row r="9" spans="2:9">
      <c r="B9" s="26" t="s">
        <v>20</v>
      </c>
      <c r="C9" s="28">
        <f>'Check Now 26.17 Analysis'!P57</f>
        <v>0.75294117647058822</v>
      </c>
      <c r="D9" s="55">
        <v>0.2</v>
      </c>
      <c r="E9" s="28">
        <f>'Check Now 26.17 Analysis'!Q57</f>
        <v>1.2142857142857142</v>
      </c>
      <c r="F9" s="56">
        <v>0.1</v>
      </c>
      <c r="G9" s="28">
        <f>'Check Now 26.17 Analysis'!Q101</f>
        <v>1</v>
      </c>
      <c r="H9" s="56">
        <v>0.7</v>
      </c>
      <c r="I9" s="104">
        <f t="shared" si="0"/>
        <v>0.97201680672268909</v>
      </c>
    </row>
    <row r="10" spans="2:9">
      <c r="B10" s="26" t="s">
        <v>217</v>
      </c>
      <c r="C10" s="28">
        <f>'Check Now 26.17 Analysis'!P58</f>
        <v>0.52857614800132147</v>
      </c>
      <c r="D10" s="55">
        <v>0.2</v>
      </c>
      <c r="E10" s="28">
        <f>'Check Now 26.17 Analysis'!Q58</f>
        <v>1.5975714285714286</v>
      </c>
      <c r="F10" s="56">
        <v>0.1</v>
      </c>
      <c r="G10" s="28">
        <f>'Check Now 26.17 Analysis'!Q102</f>
        <v>0.78947368421052633</v>
      </c>
      <c r="H10" s="56">
        <v>0.7</v>
      </c>
      <c r="I10" s="104">
        <f t="shared" si="0"/>
        <v>0.81810395140477554</v>
      </c>
    </row>
    <row r="11" spans="2:9">
      <c r="B11" s="26" t="s">
        <v>21</v>
      </c>
      <c r="C11" s="28">
        <f>'Check Now 26.17 Analysis'!P59</f>
        <v>0.98989898989898994</v>
      </c>
      <c r="D11" s="55">
        <v>0.2</v>
      </c>
      <c r="E11" s="28">
        <f>'Check Now 26.17 Analysis'!Q59</f>
        <v>0.63265306122448983</v>
      </c>
      <c r="F11" s="56">
        <v>0.1</v>
      </c>
      <c r="G11" s="28">
        <f>'Check Now 26.17 Analysis'!Q103</f>
        <v>0.6428571428571429</v>
      </c>
      <c r="H11" s="56">
        <v>0.7</v>
      </c>
      <c r="I11" s="104">
        <f t="shared" si="0"/>
        <v>0.71124510410224695</v>
      </c>
    </row>
    <row r="12" spans="2:9">
      <c r="B12" s="26" t="s">
        <v>22</v>
      </c>
      <c r="C12" s="28">
        <f>'Check Now 26.17 Analysis'!P60</f>
        <v>0.76447345816869949</v>
      </c>
      <c r="D12" s="55">
        <v>0.2</v>
      </c>
      <c r="E12" s="28">
        <f>'Check Now 26.17 Analysis'!Q60</f>
        <v>1.5702857142857143</v>
      </c>
      <c r="F12" s="56">
        <v>0.1</v>
      </c>
      <c r="G12" s="28">
        <f>'Check Now 26.17 Analysis'!Q104</f>
        <v>1</v>
      </c>
      <c r="H12" s="56">
        <v>0.7</v>
      </c>
      <c r="I12" s="104">
        <f t="shared" si="0"/>
        <v>1.0099232630623112</v>
      </c>
    </row>
    <row r="13" spans="2:9">
      <c r="B13" s="26" t="s">
        <v>23</v>
      </c>
      <c r="C13" s="28">
        <f>'Check Now 26.17 Analysis'!P61</f>
        <v>0.70400169383866185</v>
      </c>
      <c r="D13" s="55">
        <v>0.2</v>
      </c>
      <c r="E13" s="28">
        <f>'Check Now 26.17 Analysis'!Q61</f>
        <v>1.4398412698412699</v>
      </c>
      <c r="F13" s="56">
        <v>0.1</v>
      </c>
      <c r="G13" s="28">
        <f>'Check Now 26.17 Analysis'!Q105</f>
        <v>1</v>
      </c>
      <c r="H13" s="56">
        <v>0.7</v>
      </c>
      <c r="I13" s="104">
        <f t="shared" ref="I13" si="1">(C13*D13)+(E13*F13)+(G13*H13)</f>
        <v>0.98478446575185929</v>
      </c>
    </row>
    <row r="14" spans="2:9">
      <c r="B14" s="47" t="s">
        <v>128</v>
      </c>
      <c r="C14" s="29">
        <f>'Check Now 26.17 Analysis'!P62</f>
        <v>0.70741189216748457</v>
      </c>
      <c r="D14" s="57">
        <v>0.2</v>
      </c>
      <c r="E14" s="29">
        <f>'Check Now 26.17 Analysis'!Q62</f>
        <v>1.2881764705882353</v>
      </c>
      <c r="F14" s="57">
        <v>0.1</v>
      </c>
      <c r="G14" s="29">
        <f>'Check Now 26.17 Analysis'!Q106</f>
        <v>0.91860465116279066</v>
      </c>
      <c r="H14" s="57">
        <v>0.7</v>
      </c>
      <c r="I14" s="110">
        <f t="shared" si="0"/>
        <v>0.91332328130627394</v>
      </c>
    </row>
    <row r="15" spans="2:9">
      <c r="I15" s="111"/>
    </row>
    <row r="16" spans="2:9" ht="16">
      <c r="B16" s="25" t="s">
        <v>1</v>
      </c>
      <c r="C16" s="34" t="s">
        <v>132</v>
      </c>
      <c r="D16" s="53" t="s">
        <v>144</v>
      </c>
      <c r="E16" s="34" t="s">
        <v>134</v>
      </c>
      <c r="F16" s="53" t="s">
        <v>144</v>
      </c>
      <c r="G16" s="39" t="s">
        <v>135</v>
      </c>
      <c r="H16" s="53" t="s">
        <v>144</v>
      </c>
      <c r="I16" s="112" t="s">
        <v>145</v>
      </c>
    </row>
    <row r="17" spans="2:9" ht="16">
      <c r="B17" s="4" t="s">
        <v>9</v>
      </c>
      <c r="C17" s="28">
        <f>'Check Now 26.17 Analysis'!P88</f>
        <v>0.66122424388480527</v>
      </c>
      <c r="D17" s="55">
        <v>0.2</v>
      </c>
      <c r="E17" s="28">
        <f>'Check Now 26.17 Analysis'!Q88</f>
        <v>1.5392118226600986</v>
      </c>
      <c r="F17" s="55">
        <v>0.1</v>
      </c>
      <c r="G17" s="28">
        <f>'Check Now 26.17 Analysis'!Q132</f>
        <v>0.93220338983050843</v>
      </c>
      <c r="H17" s="55">
        <v>0.7</v>
      </c>
      <c r="I17" s="113">
        <f>(C17*D17)+(E17*F17)+(G17*H17)</f>
        <v>0.93870840392432675</v>
      </c>
    </row>
    <row r="18" spans="2:9" ht="16">
      <c r="B18" s="4" t="s">
        <v>8</v>
      </c>
      <c r="C18" s="28">
        <f>'Check Now 26.17 Analysis'!P89</f>
        <v>0.70229007633587781</v>
      </c>
      <c r="D18" s="55">
        <v>0.2</v>
      </c>
      <c r="E18" s="28">
        <f>'Check Now 26.17 Analysis'!Q89</f>
        <v>1.3333333333333333</v>
      </c>
      <c r="F18" s="55">
        <v>0.1</v>
      </c>
      <c r="G18" s="28">
        <f>'Check Now 26.17 Analysis'!Q133</f>
        <v>1</v>
      </c>
      <c r="H18" s="55">
        <v>0.7</v>
      </c>
      <c r="I18" s="113">
        <f t="shared" ref="I18:I21" si="2">(C18*D18)+(E18*F18)+(G18*H18)</f>
        <v>0.97379134860050887</v>
      </c>
    </row>
    <row r="19" spans="2:9" ht="16">
      <c r="B19" s="4" t="s">
        <v>13</v>
      </c>
      <c r="C19" s="28">
        <f>'Check Now 26.17 Analysis'!P90</f>
        <v>0.68672199170124482</v>
      </c>
      <c r="D19" s="55">
        <v>0.2</v>
      </c>
      <c r="E19" s="28">
        <f>'Check Now 26.17 Analysis'!Q90</f>
        <v>0.97247706422018354</v>
      </c>
      <c r="F19" s="55">
        <v>0.1</v>
      </c>
      <c r="G19" s="28">
        <f>'Check Now 26.17 Analysis'!Q134</f>
        <v>0.82352941176470584</v>
      </c>
      <c r="H19" s="55">
        <v>0.7</v>
      </c>
      <c r="I19" s="113">
        <f t="shared" si="2"/>
        <v>0.8110626929975614</v>
      </c>
    </row>
    <row r="20" spans="2:9">
      <c r="B20" s="7" t="s">
        <v>15</v>
      </c>
      <c r="C20" s="28">
        <f>'Check Now 26.17 Analysis'!P91</f>
        <v>0.91079812206572774</v>
      </c>
      <c r="D20" s="55">
        <v>0.2</v>
      </c>
      <c r="E20" s="28">
        <f>'Check Now 26.17 Analysis'!Q91</f>
        <v>1.4214285714285715</v>
      </c>
      <c r="F20" s="55">
        <v>0.1</v>
      </c>
      <c r="G20" s="28">
        <f>'Check Now 26.17 Analysis'!Q135</f>
        <v>0.96666666666666667</v>
      </c>
      <c r="H20" s="55">
        <v>0.7</v>
      </c>
      <c r="I20" s="113">
        <f t="shared" si="2"/>
        <v>1.0009691482226692</v>
      </c>
    </row>
    <row r="21" spans="2:9">
      <c r="B21" s="25" t="s">
        <v>128</v>
      </c>
      <c r="C21" s="37">
        <f>'Check Now 26.17 Analysis'!P92</f>
        <v>0.70741189216748457</v>
      </c>
      <c r="D21" s="57">
        <v>0.2</v>
      </c>
      <c r="E21" s="37">
        <f>'Check Now 26.17 Analysis'!Q92</f>
        <v>1.2881764705882353</v>
      </c>
      <c r="F21" s="57">
        <v>0.1</v>
      </c>
      <c r="G21" s="37">
        <f>'Check Now 26.17 Analysis'!Q136</f>
        <v>0.91860465116279066</v>
      </c>
      <c r="H21" s="57">
        <v>0.7</v>
      </c>
      <c r="I21" s="112">
        <f t="shared" si="2"/>
        <v>0.91332328130627394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99AD-2A7D-5749-A46C-4FB8C36D2293}">
  <dimension ref="B2:J15"/>
  <sheetViews>
    <sheetView workbookViewId="0">
      <selection activeCell="B2" sqref="B2:J15"/>
    </sheetView>
  </sheetViews>
  <sheetFormatPr baseColWidth="10" defaultColWidth="50" defaultRowHeight="15"/>
  <cols>
    <col min="1" max="1" width="6.6640625" style="3" customWidth="1"/>
    <col min="2" max="2" width="45.6640625" style="3" bestFit="1" customWidth="1"/>
    <col min="3" max="3" width="12.5" style="3" bestFit="1" customWidth="1"/>
    <col min="4" max="4" width="16.33203125" style="3" customWidth="1"/>
    <col min="5" max="5" width="14" style="3" customWidth="1"/>
    <col min="6" max="6" width="14.33203125" style="3" customWidth="1"/>
    <col min="7" max="7" width="19.33203125" style="3" customWidth="1"/>
    <col min="8" max="8" width="4" style="3" customWidth="1"/>
    <col min="9" max="9" width="16.6640625" style="3" customWidth="1"/>
    <col min="10" max="10" width="7.1640625" style="3" customWidth="1"/>
    <col min="11" max="11" width="5.5" style="3" customWidth="1"/>
    <col min="12" max="12" width="5" style="3" customWidth="1"/>
    <col min="13" max="16384" width="50" style="3"/>
  </cols>
  <sheetData>
    <row r="2" spans="2:10" ht="16">
      <c r="B2" s="1" t="s">
        <v>305</v>
      </c>
      <c r="C2" s="2"/>
      <c r="D2" s="2"/>
      <c r="E2" s="2"/>
      <c r="F2" s="2"/>
      <c r="G2" s="2"/>
    </row>
    <row r="3" spans="2:10" ht="48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I3" s="1" t="s">
        <v>1</v>
      </c>
      <c r="J3" s="1" t="s">
        <v>6</v>
      </c>
    </row>
    <row r="4" spans="2:10" ht="16">
      <c r="B4" s="26" t="s">
        <v>7</v>
      </c>
      <c r="C4" s="5" t="s">
        <v>8</v>
      </c>
      <c r="D4" s="6">
        <f t="shared" ref="D4" si="0">7*10</f>
        <v>70</v>
      </c>
      <c r="E4" s="6">
        <v>0</v>
      </c>
      <c r="F4" s="6">
        <v>1</v>
      </c>
      <c r="G4" s="6">
        <f>7*9</f>
        <v>63</v>
      </c>
      <c r="I4" s="4" t="s">
        <v>9</v>
      </c>
      <c r="J4" s="6">
        <f>SUMIF(C4:C14,C13,G4:G14)</f>
        <v>203</v>
      </c>
    </row>
    <row r="5" spans="2:10" ht="16">
      <c r="B5" s="26" t="s">
        <v>10</v>
      </c>
      <c r="C5" s="5" t="s">
        <v>11</v>
      </c>
      <c r="D5" s="6">
        <f>7*10</f>
        <v>70</v>
      </c>
      <c r="E5" s="6">
        <v>0</v>
      </c>
      <c r="F5" s="6">
        <v>1</v>
      </c>
      <c r="G5" s="6">
        <f>7*9</f>
        <v>63</v>
      </c>
      <c r="I5" s="4" t="s">
        <v>8</v>
      </c>
      <c r="J5" s="6">
        <f>SUMIF(C4:C14,C9,G4:G14)</f>
        <v>189</v>
      </c>
    </row>
    <row r="6" spans="2:10" ht="16">
      <c r="B6" s="26" t="s">
        <v>12</v>
      </c>
      <c r="C6" s="5" t="s">
        <v>11</v>
      </c>
      <c r="D6" s="6">
        <f>4*10</f>
        <v>40</v>
      </c>
      <c r="E6" s="6">
        <v>0</v>
      </c>
      <c r="F6" s="6">
        <v>1</v>
      </c>
      <c r="G6" s="6">
        <f>4*9</f>
        <v>36</v>
      </c>
      <c r="I6" s="4" t="s">
        <v>13</v>
      </c>
      <c r="J6" s="6">
        <f>SUMIF(C4:C14,C8,G4:G14)</f>
        <v>218</v>
      </c>
    </row>
    <row r="7" spans="2:10" ht="16">
      <c r="B7" s="26" t="s">
        <v>14</v>
      </c>
      <c r="C7" s="5" t="s">
        <v>15</v>
      </c>
      <c r="D7" s="6">
        <f t="shared" ref="D7:D14" si="1">7*10</f>
        <v>70</v>
      </c>
      <c r="E7" s="6">
        <v>0</v>
      </c>
      <c r="F7" s="6">
        <v>0</v>
      </c>
      <c r="G7" s="6">
        <f t="shared" ref="G7:G13" si="2">7*10</f>
        <v>70</v>
      </c>
      <c r="I7" s="5" t="s">
        <v>15</v>
      </c>
      <c r="J7" s="6">
        <f>SUMIF(C4:C14,C7,G4:G14)</f>
        <v>70</v>
      </c>
    </row>
    <row r="8" spans="2:10" ht="16">
      <c r="B8" s="26" t="s">
        <v>16</v>
      </c>
      <c r="C8" s="5" t="s">
        <v>11</v>
      </c>
      <c r="D8" s="6">
        <f t="shared" si="1"/>
        <v>70</v>
      </c>
      <c r="E8" s="6">
        <v>0</v>
      </c>
      <c r="F8" s="6">
        <v>0</v>
      </c>
      <c r="G8" s="6">
        <f t="shared" si="2"/>
        <v>70</v>
      </c>
      <c r="I8" s="8" t="s">
        <v>17</v>
      </c>
      <c r="J8" s="6">
        <f>SUMIF(C4:C14,#REF!,G4:G14)</f>
        <v>0</v>
      </c>
    </row>
    <row r="9" spans="2:10" ht="16">
      <c r="B9" s="26" t="s">
        <v>18</v>
      </c>
      <c r="C9" s="5" t="s">
        <v>8</v>
      </c>
      <c r="D9" s="6">
        <f t="shared" si="1"/>
        <v>70</v>
      </c>
      <c r="E9" s="6">
        <v>0</v>
      </c>
      <c r="F9" s="6">
        <v>2</v>
      </c>
      <c r="G9" s="6">
        <f>7*8</f>
        <v>56</v>
      </c>
      <c r="I9" s="8" t="s">
        <v>19</v>
      </c>
      <c r="J9" s="6">
        <f>SUMIF(C4:C14,#REF!,G4:G14)</f>
        <v>0</v>
      </c>
    </row>
    <row r="10" spans="2:10" ht="16">
      <c r="B10" s="26" t="s">
        <v>20</v>
      </c>
      <c r="C10" s="5" t="s">
        <v>8</v>
      </c>
      <c r="D10" s="6">
        <f t="shared" si="1"/>
        <v>70</v>
      </c>
      <c r="E10" s="6">
        <v>0</v>
      </c>
      <c r="F10" s="6">
        <v>0</v>
      </c>
      <c r="G10" s="6">
        <f t="shared" si="2"/>
        <v>70</v>
      </c>
      <c r="I10" s="9" t="s">
        <v>24</v>
      </c>
      <c r="J10" s="10">
        <f>SUM(J4:J9)</f>
        <v>680</v>
      </c>
    </row>
    <row r="11" spans="2:10" ht="16">
      <c r="B11" s="26" t="s">
        <v>217</v>
      </c>
      <c r="C11" s="5" t="s">
        <v>9</v>
      </c>
      <c r="D11" s="6">
        <f t="shared" si="1"/>
        <v>70</v>
      </c>
      <c r="E11" s="6">
        <v>0</v>
      </c>
      <c r="F11" s="6">
        <v>0</v>
      </c>
      <c r="G11" s="6">
        <f t="shared" si="2"/>
        <v>70</v>
      </c>
    </row>
    <row r="12" spans="2:10" ht="16">
      <c r="B12" s="26" t="s">
        <v>21</v>
      </c>
      <c r="C12" s="5" t="s">
        <v>11</v>
      </c>
      <c r="D12" s="6">
        <f t="shared" si="1"/>
        <v>70</v>
      </c>
      <c r="E12" s="6">
        <v>0</v>
      </c>
      <c r="F12" s="6">
        <v>3</v>
      </c>
      <c r="G12" s="6">
        <f>7*7</f>
        <v>49</v>
      </c>
    </row>
    <row r="13" spans="2:10" ht="16">
      <c r="B13" s="26" t="s">
        <v>22</v>
      </c>
      <c r="C13" s="5" t="s">
        <v>9</v>
      </c>
      <c r="D13" s="6">
        <f t="shared" si="1"/>
        <v>70</v>
      </c>
      <c r="E13" s="6">
        <v>0</v>
      </c>
      <c r="F13" s="6">
        <v>0</v>
      </c>
      <c r="G13" s="6">
        <f t="shared" si="2"/>
        <v>70</v>
      </c>
    </row>
    <row r="14" spans="2:10" ht="16">
      <c r="B14" s="26" t="s">
        <v>23</v>
      </c>
      <c r="C14" s="5" t="s">
        <v>9</v>
      </c>
      <c r="D14" s="6">
        <f t="shared" si="1"/>
        <v>70</v>
      </c>
      <c r="E14" s="6">
        <v>0</v>
      </c>
      <c r="F14" s="6">
        <v>1</v>
      </c>
      <c r="G14" s="6">
        <f>7*9</f>
        <v>63</v>
      </c>
    </row>
    <row r="15" spans="2:10" ht="16">
      <c r="B15" s="9" t="s">
        <v>24</v>
      </c>
      <c r="G15" s="10">
        <f>SUM(G4:G14)</f>
        <v>680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0FA8-AF42-E44B-AC1E-44C351EC1411}">
  <dimension ref="B2:S816"/>
  <sheetViews>
    <sheetView topLeftCell="A241" workbookViewId="0">
      <selection activeCell="B284" sqref="B284:S456"/>
    </sheetView>
  </sheetViews>
  <sheetFormatPr baseColWidth="10" defaultRowHeight="14"/>
  <cols>
    <col min="1" max="1" width="10.83203125" style="106"/>
    <col min="2" max="2" width="32.5" style="106" customWidth="1"/>
    <col min="3" max="16384" width="10.83203125" style="106"/>
  </cols>
  <sheetData>
    <row r="2" spans="2:19" ht="15">
      <c r="B2" s="105" t="s">
        <v>303</v>
      </c>
    </row>
    <row r="3" spans="2:19" ht="15">
      <c r="B3" s="107" t="s">
        <v>304</v>
      </c>
    </row>
    <row r="5" spans="2:19">
      <c r="B5" s="108" t="s">
        <v>210</v>
      </c>
    </row>
    <row r="6" spans="2:19">
      <c r="B6" s="13" t="s">
        <v>26</v>
      </c>
      <c r="C6" s="13" t="s">
        <v>27</v>
      </c>
      <c r="D6" s="13" t="s">
        <v>28</v>
      </c>
      <c r="E6" s="13" t="s">
        <v>29</v>
      </c>
      <c r="F6" s="13" t="s">
        <v>31</v>
      </c>
      <c r="G6" s="13" t="s">
        <v>30</v>
      </c>
      <c r="H6" s="13" t="s">
        <v>179</v>
      </c>
      <c r="I6" s="13" t="s">
        <v>180</v>
      </c>
      <c r="J6" s="13" t="s">
        <v>181</v>
      </c>
      <c r="K6" s="13" t="s">
        <v>182</v>
      </c>
      <c r="L6" s="13" t="s">
        <v>183</v>
      </c>
      <c r="M6" s="13" t="s">
        <v>184</v>
      </c>
      <c r="N6" s="13" t="s">
        <v>185</v>
      </c>
      <c r="O6" s="13" t="s">
        <v>186</v>
      </c>
      <c r="P6" s="13" t="s">
        <v>187</v>
      </c>
      <c r="Q6" s="13" t="s">
        <v>188</v>
      </c>
      <c r="R6" s="13" t="s">
        <v>189</v>
      </c>
      <c r="S6" s="13" t="s">
        <v>190</v>
      </c>
    </row>
    <row r="7" spans="2:19">
      <c r="B7" s="13" t="s">
        <v>32</v>
      </c>
      <c r="C7" s="14">
        <v>260293</v>
      </c>
      <c r="D7" s="13" t="s">
        <v>33</v>
      </c>
      <c r="E7" s="13" t="s">
        <v>36</v>
      </c>
      <c r="F7" s="13">
        <v>3</v>
      </c>
      <c r="G7" s="13" t="s">
        <v>306</v>
      </c>
      <c r="H7" s="13"/>
      <c r="I7" s="13"/>
      <c r="J7" s="13"/>
      <c r="K7" s="13"/>
      <c r="L7" s="13">
        <v>2</v>
      </c>
      <c r="M7" s="13"/>
      <c r="N7" s="13"/>
      <c r="O7" s="13"/>
      <c r="P7" s="13"/>
      <c r="Q7" s="13" t="s">
        <v>32</v>
      </c>
      <c r="R7" s="13"/>
      <c r="S7" s="13"/>
    </row>
    <row r="8" spans="2:19">
      <c r="B8" s="13" t="s">
        <v>32</v>
      </c>
      <c r="C8" s="14">
        <v>227974</v>
      </c>
      <c r="D8" s="13" t="s">
        <v>33</v>
      </c>
      <c r="E8" s="13" t="s">
        <v>192</v>
      </c>
      <c r="F8" s="13">
        <v>3</v>
      </c>
      <c r="G8" s="13" t="s">
        <v>306</v>
      </c>
      <c r="H8" s="13"/>
      <c r="I8" s="13"/>
      <c r="J8" s="13"/>
      <c r="K8" s="13"/>
      <c r="L8" s="13">
        <v>2</v>
      </c>
      <c r="M8" s="13"/>
      <c r="N8" s="13"/>
      <c r="O8" s="13"/>
      <c r="P8" s="13"/>
      <c r="Q8" s="13" t="s">
        <v>32</v>
      </c>
      <c r="R8" s="13"/>
      <c r="S8" s="13"/>
    </row>
    <row r="9" spans="2:19">
      <c r="B9" s="13" t="s">
        <v>32</v>
      </c>
      <c r="C9" s="14">
        <v>228363</v>
      </c>
      <c r="D9" s="13" t="s">
        <v>33</v>
      </c>
      <c r="E9" s="13" t="s">
        <v>307</v>
      </c>
      <c r="F9" s="13">
        <v>5</v>
      </c>
      <c r="G9" s="13" t="s">
        <v>306</v>
      </c>
      <c r="H9" s="13"/>
      <c r="I9" s="13"/>
      <c r="J9" s="13"/>
      <c r="K9" s="13"/>
      <c r="L9" s="13">
        <v>2</v>
      </c>
      <c r="M9" s="13"/>
      <c r="N9" s="13" t="s">
        <v>8</v>
      </c>
      <c r="O9" s="13"/>
      <c r="P9" s="13"/>
      <c r="Q9" s="13" t="s">
        <v>32</v>
      </c>
      <c r="R9" s="13"/>
      <c r="S9" s="13"/>
    </row>
    <row r="10" spans="2:19">
      <c r="B10" s="13" t="s">
        <v>32</v>
      </c>
      <c r="C10" s="14">
        <v>228369</v>
      </c>
      <c r="D10" s="13" t="s">
        <v>33</v>
      </c>
      <c r="E10" s="13" t="s">
        <v>193</v>
      </c>
      <c r="F10" s="13">
        <v>3</v>
      </c>
      <c r="G10" s="13" t="s">
        <v>306</v>
      </c>
      <c r="H10" s="13"/>
      <c r="I10" s="13"/>
      <c r="J10" s="13"/>
      <c r="K10" s="13"/>
      <c r="L10" s="13">
        <v>2</v>
      </c>
      <c r="M10" s="13"/>
      <c r="N10" s="13"/>
      <c r="O10" s="13"/>
      <c r="P10" s="13"/>
      <c r="Q10" s="13" t="s">
        <v>32</v>
      </c>
      <c r="R10" s="13"/>
      <c r="S10" s="13"/>
    </row>
    <row r="11" spans="2:19">
      <c r="B11" s="13" t="s">
        <v>32</v>
      </c>
      <c r="C11" s="14">
        <v>255494</v>
      </c>
      <c r="D11" s="13" t="s">
        <v>33</v>
      </c>
      <c r="E11" s="13" t="s">
        <v>40</v>
      </c>
      <c r="F11" s="13">
        <v>3</v>
      </c>
      <c r="G11" s="13" t="s">
        <v>38</v>
      </c>
      <c r="H11" s="13"/>
      <c r="I11" s="13"/>
      <c r="J11" s="13"/>
      <c r="K11" s="13"/>
      <c r="L11" s="13">
        <v>2</v>
      </c>
      <c r="M11" s="13"/>
      <c r="N11" s="13"/>
      <c r="O11" s="13"/>
      <c r="P11" s="13"/>
      <c r="Q11" s="13" t="s">
        <v>32</v>
      </c>
      <c r="R11" s="13"/>
      <c r="S11" s="13"/>
    </row>
    <row r="12" spans="2:19">
      <c r="B12" s="13" t="s">
        <v>32</v>
      </c>
      <c r="C12" s="14">
        <v>227974</v>
      </c>
      <c r="D12" s="13" t="s">
        <v>33</v>
      </c>
      <c r="E12" s="13" t="s">
        <v>194</v>
      </c>
      <c r="F12" s="13">
        <v>5</v>
      </c>
      <c r="G12" s="13" t="s">
        <v>42</v>
      </c>
      <c r="H12" s="13"/>
      <c r="I12" s="13"/>
      <c r="J12" s="13"/>
      <c r="K12" s="13"/>
      <c r="L12" s="13">
        <v>2</v>
      </c>
      <c r="M12" s="13"/>
      <c r="N12" s="13"/>
      <c r="O12" s="13"/>
      <c r="P12" s="13"/>
      <c r="Q12" s="13" t="s">
        <v>32</v>
      </c>
      <c r="R12" s="13"/>
      <c r="S12" s="13"/>
    </row>
    <row r="13" spans="2:19">
      <c r="B13" s="13" t="s">
        <v>41</v>
      </c>
      <c r="C13" s="14">
        <v>228964</v>
      </c>
      <c r="D13" s="13" t="s">
        <v>33</v>
      </c>
      <c r="E13" s="13" t="s">
        <v>197</v>
      </c>
      <c r="F13" s="13">
        <v>8</v>
      </c>
      <c r="G13" s="13" t="s">
        <v>38</v>
      </c>
      <c r="H13" s="13"/>
      <c r="I13" s="13"/>
      <c r="J13" s="13"/>
      <c r="K13" s="13"/>
      <c r="L13" s="13">
        <v>1</v>
      </c>
      <c r="M13" s="13"/>
      <c r="N13" s="13"/>
      <c r="O13" s="13"/>
      <c r="P13" s="13"/>
      <c r="Q13" s="13" t="s">
        <v>41</v>
      </c>
      <c r="R13" s="13"/>
      <c r="S13" s="13"/>
    </row>
    <row r="14" spans="2:19">
      <c r="B14" s="13" t="s">
        <v>41</v>
      </c>
      <c r="C14" s="14">
        <v>228960</v>
      </c>
      <c r="D14" s="13" t="s">
        <v>33</v>
      </c>
      <c r="E14" s="13" t="s">
        <v>45</v>
      </c>
      <c r="F14" s="13">
        <v>5</v>
      </c>
      <c r="G14" s="13" t="s">
        <v>38</v>
      </c>
      <c r="H14" s="13"/>
      <c r="I14" s="13"/>
      <c r="J14" s="13"/>
      <c r="K14" s="13"/>
      <c r="L14" s="13">
        <v>1</v>
      </c>
      <c r="M14" s="13"/>
      <c r="N14" s="13"/>
      <c r="O14" s="13"/>
      <c r="P14" s="13"/>
      <c r="Q14" s="13" t="s">
        <v>41</v>
      </c>
      <c r="R14" s="13"/>
      <c r="S14" s="13"/>
    </row>
    <row r="15" spans="2:19">
      <c r="B15" s="13" t="s">
        <v>41</v>
      </c>
      <c r="C15" s="14">
        <v>228960</v>
      </c>
      <c r="D15" s="13" t="s">
        <v>33</v>
      </c>
      <c r="E15" s="13" t="s">
        <v>47</v>
      </c>
      <c r="F15" s="13">
        <v>3</v>
      </c>
      <c r="G15" s="13" t="s">
        <v>38</v>
      </c>
      <c r="H15" s="13"/>
      <c r="I15" s="13"/>
      <c r="J15" s="13"/>
      <c r="K15" s="13"/>
      <c r="L15" s="13">
        <v>1</v>
      </c>
      <c r="M15" s="13"/>
      <c r="N15" s="13"/>
      <c r="O15" s="13"/>
      <c r="P15" s="13"/>
      <c r="Q15" s="13" t="s">
        <v>41</v>
      </c>
      <c r="R15" s="13"/>
      <c r="S15" s="13"/>
    </row>
    <row r="16" spans="2:19">
      <c r="B16" s="13" t="s">
        <v>41</v>
      </c>
      <c r="C16" s="14">
        <v>228960</v>
      </c>
      <c r="D16" s="13" t="s">
        <v>33</v>
      </c>
      <c r="E16" s="13" t="s">
        <v>44</v>
      </c>
      <c r="F16" s="13">
        <v>3</v>
      </c>
      <c r="G16" s="13" t="s">
        <v>200</v>
      </c>
      <c r="H16" s="13"/>
      <c r="I16" s="13"/>
      <c r="J16" s="13"/>
      <c r="K16" s="13"/>
      <c r="L16" s="13">
        <v>1</v>
      </c>
      <c r="M16" s="13"/>
      <c r="N16" s="13"/>
      <c r="O16" s="13"/>
      <c r="P16" s="13"/>
      <c r="Q16" s="13" t="s">
        <v>41</v>
      </c>
      <c r="R16" s="13"/>
      <c r="S16" s="13"/>
    </row>
    <row r="17" spans="2:19">
      <c r="B17" s="13" t="s">
        <v>41</v>
      </c>
      <c r="C17" s="14">
        <v>228960</v>
      </c>
      <c r="D17" s="13" t="s">
        <v>33</v>
      </c>
      <c r="E17" s="13" t="s">
        <v>54</v>
      </c>
      <c r="F17" s="13">
        <v>5</v>
      </c>
      <c r="G17" s="13" t="s">
        <v>35</v>
      </c>
      <c r="H17" s="13"/>
      <c r="I17" s="13"/>
      <c r="J17" s="13"/>
      <c r="K17" s="13"/>
      <c r="L17" s="13">
        <v>2</v>
      </c>
      <c r="M17" s="13"/>
      <c r="N17" s="13"/>
      <c r="O17" s="13"/>
      <c r="P17" s="13"/>
      <c r="Q17" s="13" t="s">
        <v>41</v>
      </c>
      <c r="R17" s="13"/>
      <c r="S17" s="13"/>
    </row>
    <row r="18" spans="2:19">
      <c r="B18" s="13" t="s">
        <v>41</v>
      </c>
      <c r="C18" s="14">
        <v>228960</v>
      </c>
      <c r="D18" s="13" t="s">
        <v>33</v>
      </c>
      <c r="E18" s="13" t="s">
        <v>50</v>
      </c>
      <c r="F18" s="13">
        <v>3</v>
      </c>
      <c r="G18" s="13" t="s">
        <v>191</v>
      </c>
      <c r="H18" s="13"/>
      <c r="I18" s="13"/>
      <c r="J18" s="13"/>
      <c r="K18" s="13"/>
      <c r="L18" s="13">
        <v>1</v>
      </c>
      <c r="M18" s="13"/>
      <c r="N18" s="13"/>
      <c r="O18" s="13"/>
      <c r="P18" s="13"/>
      <c r="Q18" s="13" t="s">
        <v>41</v>
      </c>
      <c r="R18" s="13"/>
      <c r="S18" s="13"/>
    </row>
    <row r="19" spans="2:19">
      <c r="B19" s="13" t="s">
        <v>41</v>
      </c>
      <c r="C19" s="14">
        <v>228960</v>
      </c>
      <c r="D19" s="13" t="s">
        <v>33</v>
      </c>
      <c r="E19" s="13" t="s">
        <v>51</v>
      </c>
      <c r="F19" s="13">
        <v>5</v>
      </c>
      <c r="G19" s="13" t="s">
        <v>200</v>
      </c>
      <c r="H19" s="13"/>
      <c r="I19" s="13"/>
      <c r="J19" s="13"/>
      <c r="K19" s="13"/>
      <c r="L19" s="13">
        <v>2</v>
      </c>
      <c r="M19" s="13"/>
      <c r="N19" s="13"/>
      <c r="O19" s="13"/>
      <c r="P19" s="13"/>
      <c r="Q19" s="13" t="s">
        <v>41</v>
      </c>
      <c r="R19" s="13"/>
      <c r="S19" s="13"/>
    </row>
    <row r="20" spans="2:19">
      <c r="B20" s="13" t="s">
        <v>41</v>
      </c>
      <c r="C20" s="14">
        <v>228960</v>
      </c>
      <c r="D20" s="13" t="s">
        <v>33</v>
      </c>
      <c r="E20" s="13" t="s">
        <v>53</v>
      </c>
      <c r="F20" s="13">
        <v>5</v>
      </c>
      <c r="G20" s="13" t="s">
        <v>38</v>
      </c>
      <c r="H20" s="13"/>
      <c r="I20" s="13"/>
      <c r="J20" s="13"/>
      <c r="K20" s="13"/>
      <c r="L20" s="13">
        <v>2</v>
      </c>
      <c r="M20" s="13"/>
      <c r="N20" s="13"/>
      <c r="O20" s="13"/>
      <c r="P20" s="13"/>
      <c r="Q20" s="13" t="s">
        <v>41</v>
      </c>
      <c r="R20" s="13"/>
      <c r="S20" s="13"/>
    </row>
    <row r="21" spans="2:19">
      <c r="B21" s="13" t="s">
        <v>41</v>
      </c>
      <c r="C21" s="14">
        <v>228960</v>
      </c>
      <c r="D21" s="13" t="s">
        <v>33</v>
      </c>
      <c r="E21" s="13" t="s">
        <v>55</v>
      </c>
      <c r="F21" s="13">
        <v>5</v>
      </c>
      <c r="G21" s="13" t="s">
        <v>38</v>
      </c>
      <c r="H21" s="13"/>
      <c r="I21" s="13"/>
      <c r="J21" s="13"/>
      <c r="K21" s="13"/>
      <c r="L21" s="13">
        <v>2</v>
      </c>
      <c r="M21" s="13"/>
      <c r="N21" s="13"/>
      <c r="O21" s="13"/>
      <c r="P21" s="13"/>
      <c r="Q21" s="13" t="s">
        <v>41</v>
      </c>
      <c r="R21" s="13"/>
      <c r="S21" s="13"/>
    </row>
    <row r="22" spans="2:19">
      <c r="B22" s="13" t="s">
        <v>41</v>
      </c>
      <c r="C22" s="14">
        <v>228960</v>
      </c>
      <c r="D22" s="13" t="s">
        <v>33</v>
      </c>
      <c r="E22" s="13" t="s">
        <v>56</v>
      </c>
      <c r="F22" s="13">
        <v>5</v>
      </c>
      <c r="G22" s="13" t="s">
        <v>200</v>
      </c>
      <c r="H22" s="13"/>
      <c r="I22" s="13"/>
      <c r="J22" s="13"/>
      <c r="K22" s="13"/>
      <c r="L22" s="13">
        <v>2</v>
      </c>
      <c r="M22" s="13"/>
      <c r="N22" s="13"/>
      <c r="O22" s="13"/>
      <c r="P22" s="13"/>
      <c r="Q22" s="13" t="s">
        <v>41</v>
      </c>
      <c r="R22" s="13"/>
      <c r="S22" s="13"/>
    </row>
    <row r="23" spans="2:19">
      <c r="B23" s="13" t="s">
        <v>41</v>
      </c>
      <c r="C23" s="14">
        <v>228961</v>
      </c>
      <c r="D23" s="13" t="s">
        <v>33</v>
      </c>
      <c r="E23" s="13" t="s">
        <v>308</v>
      </c>
      <c r="F23" s="13">
        <v>3</v>
      </c>
      <c r="G23" s="13" t="s">
        <v>200</v>
      </c>
      <c r="H23" s="13"/>
      <c r="I23" s="13"/>
      <c r="J23" s="13"/>
      <c r="K23" s="13"/>
      <c r="L23" s="13">
        <v>3</v>
      </c>
      <c r="M23" s="13"/>
      <c r="N23" s="13"/>
      <c r="O23" s="13"/>
      <c r="P23" s="13"/>
      <c r="Q23" s="13" t="s">
        <v>41</v>
      </c>
      <c r="R23" s="13"/>
      <c r="S23" s="13"/>
    </row>
    <row r="24" spans="2:19">
      <c r="B24" s="13" t="s">
        <v>41</v>
      </c>
      <c r="C24" s="14">
        <v>228960</v>
      </c>
      <c r="D24" s="13" t="s">
        <v>33</v>
      </c>
      <c r="E24" s="13" t="s">
        <v>58</v>
      </c>
      <c r="F24" s="13">
        <v>5</v>
      </c>
      <c r="G24" s="13" t="s">
        <v>35</v>
      </c>
      <c r="H24" s="13"/>
      <c r="I24" s="13"/>
      <c r="J24" s="13"/>
      <c r="K24" s="13"/>
      <c r="L24" s="13">
        <v>2</v>
      </c>
      <c r="M24" s="13"/>
      <c r="N24" s="13"/>
      <c r="O24" s="13"/>
      <c r="P24" s="13"/>
      <c r="Q24" s="13" t="s">
        <v>41</v>
      </c>
      <c r="R24" s="13"/>
      <c r="S24" s="13"/>
    </row>
    <row r="25" spans="2:19">
      <c r="B25" s="13" t="s">
        <v>41</v>
      </c>
      <c r="C25" s="14">
        <v>228961</v>
      </c>
      <c r="D25" s="13" t="s">
        <v>33</v>
      </c>
      <c r="E25" s="13" t="s">
        <v>309</v>
      </c>
      <c r="F25" s="13">
        <v>3</v>
      </c>
      <c r="G25" s="13" t="s">
        <v>38</v>
      </c>
      <c r="H25" s="13"/>
      <c r="I25" s="13"/>
      <c r="J25" s="13"/>
      <c r="K25" s="13"/>
      <c r="L25" s="13">
        <v>3</v>
      </c>
      <c r="M25" s="13"/>
      <c r="N25" s="13"/>
      <c r="O25" s="13"/>
      <c r="P25" s="13"/>
      <c r="Q25" s="13" t="s">
        <v>41</v>
      </c>
      <c r="R25" s="13"/>
      <c r="S25" s="13"/>
    </row>
    <row r="26" spans="2:19">
      <c r="B26" s="13" t="s">
        <v>41</v>
      </c>
      <c r="C26" s="14">
        <v>228961</v>
      </c>
      <c r="D26" s="13" t="s">
        <v>33</v>
      </c>
      <c r="E26" s="13" t="s">
        <v>310</v>
      </c>
      <c r="F26" s="13">
        <v>3</v>
      </c>
      <c r="G26" s="13" t="s">
        <v>77</v>
      </c>
      <c r="H26" s="13"/>
      <c r="I26" s="13"/>
      <c r="J26" s="13"/>
      <c r="K26" s="13"/>
      <c r="L26" s="13">
        <v>3</v>
      </c>
      <c r="M26" s="13"/>
      <c r="N26" s="13"/>
      <c r="O26" s="13"/>
      <c r="P26" s="13"/>
      <c r="Q26" s="13" t="s">
        <v>41</v>
      </c>
      <c r="R26" s="13"/>
      <c r="S26" s="13"/>
    </row>
    <row r="27" spans="2:19">
      <c r="B27" s="13" t="s">
        <v>61</v>
      </c>
      <c r="C27" s="14">
        <v>241399</v>
      </c>
      <c r="D27" s="13" t="s">
        <v>33</v>
      </c>
      <c r="E27" s="13" t="s">
        <v>199</v>
      </c>
      <c r="F27" s="13">
        <v>0</v>
      </c>
      <c r="G27" s="13" t="s">
        <v>191</v>
      </c>
      <c r="H27" s="13"/>
      <c r="I27" s="13"/>
      <c r="J27" s="13"/>
      <c r="K27" s="13"/>
      <c r="L27" s="13">
        <v>2</v>
      </c>
      <c r="M27" s="13"/>
      <c r="N27" s="13"/>
      <c r="O27" s="13"/>
      <c r="P27" s="13"/>
      <c r="Q27" s="13" t="s">
        <v>61</v>
      </c>
      <c r="R27" s="13"/>
      <c r="S27" s="13"/>
    </row>
    <row r="28" spans="2:19">
      <c r="B28" s="13" t="s">
        <v>61</v>
      </c>
      <c r="C28" s="14">
        <v>241399</v>
      </c>
      <c r="D28" s="13" t="s">
        <v>33</v>
      </c>
      <c r="E28" s="13" t="s">
        <v>311</v>
      </c>
      <c r="F28" s="13">
        <v>5</v>
      </c>
      <c r="G28" s="13" t="s">
        <v>38</v>
      </c>
      <c r="H28" s="13"/>
      <c r="I28" s="13"/>
      <c r="J28" s="13"/>
      <c r="K28" s="13"/>
      <c r="L28" s="13">
        <v>2</v>
      </c>
      <c r="M28" s="13"/>
      <c r="N28" s="13"/>
      <c r="O28" s="13"/>
      <c r="P28" s="13"/>
      <c r="Q28" s="13" t="s">
        <v>61</v>
      </c>
      <c r="R28" s="13"/>
      <c r="S28" s="13"/>
    </row>
    <row r="29" spans="2:19">
      <c r="B29" s="13" t="s">
        <v>61</v>
      </c>
      <c r="C29" s="14">
        <v>241399</v>
      </c>
      <c r="D29" s="13" t="s">
        <v>33</v>
      </c>
      <c r="E29" s="13" t="s">
        <v>312</v>
      </c>
      <c r="F29" s="13">
        <v>3</v>
      </c>
      <c r="G29" s="13" t="s">
        <v>191</v>
      </c>
      <c r="H29" s="13"/>
      <c r="I29" s="13"/>
      <c r="J29" s="13"/>
      <c r="K29" s="13"/>
      <c r="L29" s="13">
        <v>2</v>
      </c>
      <c r="M29" s="13"/>
      <c r="N29" s="13"/>
      <c r="O29" s="13"/>
      <c r="P29" s="13"/>
      <c r="Q29" s="13"/>
      <c r="R29" s="13"/>
      <c r="S29" s="13"/>
    </row>
    <row r="30" spans="2:19">
      <c r="B30" s="13" t="s">
        <v>61</v>
      </c>
      <c r="C30" s="14">
        <v>195967</v>
      </c>
      <c r="D30" s="13" t="s">
        <v>33</v>
      </c>
      <c r="E30" s="13" t="s">
        <v>65</v>
      </c>
      <c r="F30" s="13">
        <v>3</v>
      </c>
      <c r="G30" s="13" t="s">
        <v>200</v>
      </c>
      <c r="H30" s="13"/>
      <c r="I30" s="13"/>
      <c r="J30" s="13"/>
      <c r="K30" s="13"/>
      <c r="L30" s="13">
        <v>1</v>
      </c>
      <c r="M30" s="13"/>
      <c r="N30" s="13"/>
      <c r="O30" s="13"/>
      <c r="P30" s="13"/>
      <c r="Q30" s="13" t="s">
        <v>61</v>
      </c>
      <c r="R30" s="13"/>
      <c r="S30" s="13"/>
    </row>
    <row r="31" spans="2:19">
      <c r="B31" s="13" t="s">
        <v>61</v>
      </c>
      <c r="C31" s="14">
        <v>195967</v>
      </c>
      <c r="D31" s="13" t="s">
        <v>33</v>
      </c>
      <c r="E31" s="13" t="s">
        <v>66</v>
      </c>
      <c r="F31" s="13">
        <v>8</v>
      </c>
      <c r="G31" s="13" t="s">
        <v>191</v>
      </c>
      <c r="H31" s="13"/>
      <c r="I31" s="13"/>
      <c r="J31" s="13"/>
      <c r="K31" s="13"/>
      <c r="L31" s="13">
        <v>2</v>
      </c>
      <c r="M31" s="13"/>
      <c r="N31" s="13"/>
      <c r="O31" s="13"/>
      <c r="P31" s="13"/>
      <c r="Q31" s="13" t="s">
        <v>61</v>
      </c>
      <c r="R31" s="13"/>
      <c r="S31" s="13"/>
    </row>
    <row r="32" spans="2:19">
      <c r="B32" s="13" t="s">
        <v>61</v>
      </c>
      <c r="C32" s="14">
        <v>195967</v>
      </c>
      <c r="D32" s="13" t="s">
        <v>33</v>
      </c>
      <c r="E32" s="13" t="s">
        <v>313</v>
      </c>
      <c r="F32" s="13">
        <v>3</v>
      </c>
      <c r="G32" s="13" t="s">
        <v>200</v>
      </c>
      <c r="H32" s="13"/>
      <c r="I32" s="13"/>
      <c r="J32" s="13"/>
      <c r="K32" s="13"/>
      <c r="L32" s="13">
        <v>1</v>
      </c>
      <c r="M32" s="13"/>
      <c r="N32" s="13"/>
      <c r="O32" s="13"/>
      <c r="P32" s="13"/>
      <c r="Q32" s="13" t="s">
        <v>61</v>
      </c>
      <c r="R32" s="13"/>
      <c r="S32" s="13"/>
    </row>
    <row r="33" spans="2:19">
      <c r="B33" s="13" t="s">
        <v>61</v>
      </c>
      <c r="C33" s="14">
        <v>195967</v>
      </c>
      <c r="D33" s="13" t="s">
        <v>33</v>
      </c>
      <c r="E33" s="13" t="s">
        <v>314</v>
      </c>
      <c r="F33" s="13">
        <v>5</v>
      </c>
      <c r="G33" s="13" t="s">
        <v>200</v>
      </c>
      <c r="H33" s="13"/>
      <c r="I33" s="13"/>
      <c r="J33" s="13"/>
      <c r="K33" s="13"/>
      <c r="L33" s="13">
        <v>1</v>
      </c>
      <c r="M33" s="13"/>
      <c r="N33" s="13"/>
      <c r="O33" s="13"/>
      <c r="P33" s="13"/>
      <c r="Q33" s="13" t="s">
        <v>61</v>
      </c>
      <c r="R33" s="13"/>
      <c r="S33" s="13"/>
    </row>
    <row r="34" spans="2:19">
      <c r="B34" s="13" t="s">
        <v>61</v>
      </c>
      <c r="C34" s="14">
        <v>195967</v>
      </c>
      <c r="D34" s="13" t="s">
        <v>33</v>
      </c>
      <c r="E34" s="13" t="s">
        <v>315</v>
      </c>
      <c r="F34" s="13">
        <v>5</v>
      </c>
      <c r="G34" s="13" t="s">
        <v>200</v>
      </c>
      <c r="H34" s="13"/>
      <c r="I34" s="13"/>
      <c r="J34" s="13"/>
      <c r="K34" s="13"/>
      <c r="L34" s="13">
        <v>1</v>
      </c>
      <c r="M34" s="13"/>
      <c r="N34" s="13"/>
      <c r="O34" s="13"/>
      <c r="P34" s="13"/>
      <c r="Q34" s="13" t="s">
        <v>61</v>
      </c>
      <c r="R34" s="13"/>
      <c r="S34" s="13"/>
    </row>
    <row r="35" spans="2:19">
      <c r="B35" s="13" t="s">
        <v>61</v>
      </c>
      <c r="C35" s="14">
        <v>195968</v>
      </c>
      <c r="D35" s="13" t="s">
        <v>33</v>
      </c>
      <c r="E35" s="13" t="s">
        <v>316</v>
      </c>
      <c r="F35" s="13">
        <v>3</v>
      </c>
      <c r="G35" s="13" t="s">
        <v>200</v>
      </c>
      <c r="H35" s="13"/>
      <c r="I35" s="13"/>
      <c r="J35" s="13"/>
      <c r="K35" s="13"/>
      <c r="L35" s="13">
        <v>1</v>
      </c>
      <c r="M35" s="13"/>
      <c r="N35" s="13"/>
      <c r="O35" s="13"/>
      <c r="P35" s="13"/>
      <c r="Q35" s="13" t="s">
        <v>61</v>
      </c>
      <c r="R35" s="13"/>
      <c r="S35" s="13"/>
    </row>
    <row r="36" spans="2:19">
      <c r="B36" s="13" t="s">
        <v>61</v>
      </c>
      <c r="C36" s="14">
        <v>195968</v>
      </c>
      <c r="D36" s="13" t="s">
        <v>33</v>
      </c>
      <c r="E36" s="13" t="s">
        <v>68</v>
      </c>
      <c r="F36" s="13">
        <v>5</v>
      </c>
      <c r="G36" s="13" t="s">
        <v>200</v>
      </c>
      <c r="H36" s="13"/>
      <c r="I36" s="13"/>
      <c r="J36" s="13"/>
      <c r="K36" s="13"/>
      <c r="L36" s="13">
        <v>2</v>
      </c>
      <c r="M36" s="13"/>
      <c r="N36" s="13"/>
      <c r="O36" s="13"/>
      <c r="P36" s="13"/>
      <c r="Q36" s="13" t="s">
        <v>61</v>
      </c>
      <c r="R36" s="13"/>
      <c r="S36" s="13"/>
    </row>
    <row r="37" spans="2:19">
      <c r="B37" s="13" t="s">
        <v>61</v>
      </c>
      <c r="C37" s="14">
        <v>195968</v>
      </c>
      <c r="D37" s="13" t="s">
        <v>33</v>
      </c>
      <c r="E37" s="13" t="s">
        <v>69</v>
      </c>
      <c r="F37" s="13">
        <v>5</v>
      </c>
      <c r="G37" s="13" t="s">
        <v>200</v>
      </c>
      <c r="H37" s="13"/>
      <c r="I37" s="13"/>
      <c r="J37" s="13"/>
      <c r="K37" s="13"/>
      <c r="L37" s="13">
        <v>2</v>
      </c>
      <c r="M37" s="13"/>
      <c r="N37" s="13"/>
      <c r="O37" s="13"/>
      <c r="P37" s="13"/>
      <c r="Q37" s="13" t="s">
        <v>61</v>
      </c>
      <c r="R37" s="13"/>
      <c r="S37" s="13"/>
    </row>
    <row r="38" spans="2:19">
      <c r="B38" s="13" t="s">
        <v>61</v>
      </c>
      <c r="C38" s="14">
        <v>195968</v>
      </c>
      <c r="D38" s="13" t="s">
        <v>33</v>
      </c>
      <c r="E38" s="13" t="s">
        <v>70</v>
      </c>
      <c r="F38" s="13">
        <v>5</v>
      </c>
      <c r="G38" s="13" t="s">
        <v>200</v>
      </c>
      <c r="H38" s="13"/>
      <c r="I38" s="13"/>
      <c r="J38" s="13"/>
      <c r="K38" s="13"/>
      <c r="L38" s="13">
        <v>2</v>
      </c>
      <c r="M38" s="13"/>
      <c r="N38" s="13"/>
      <c r="O38" s="13"/>
      <c r="P38" s="13"/>
      <c r="Q38" s="13" t="s">
        <v>61</v>
      </c>
      <c r="R38" s="13"/>
      <c r="S38" s="13"/>
    </row>
    <row r="39" spans="2:19">
      <c r="B39" s="13" t="s">
        <v>61</v>
      </c>
      <c r="C39" s="14">
        <v>195968</v>
      </c>
      <c r="D39" s="13" t="s">
        <v>33</v>
      </c>
      <c r="E39" s="13" t="s">
        <v>71</v>
      </c>
      <c r="F39" s="13">
        <v>5</v>
      </c>
      <c r="G39" s="13" t="s">
        <v>200</v>
      </c>
      <c r="H39" s="13"/>
      <c r="I39" s="13"/>
      <c r="J39" s="13"/>
      <c r="K39" s="13"/>
      <c r="L39" s="13">
        <v>2</v>
      </c>
      <c r="M39" s="13"/>
      <c r="N39" s="13"/>
      <c r="O39" s="13"/>
      <c r="P39" s="13"/>
      <c r="Q39" s="13" t="s">
        <v>61</v>
      </c>
      <c r="R39" s="13"/>
      <c r="S39" s="13"/>
    </row>
    <row r="40" spans="2:19">
      <c r="B40" s="13" t="s">
        <v>61</v>
      </c>
      <c r="C40" s="14">
        <v>195968</v>
      </c>
      <c r="D40" s="13" t="s">
        <v>33</v>
      </c>
      <c r="E40" s="13" t="s">
        <v>72</v>
      </c>
      <c r="F40" s="13">
        <v>8</v>
      </c>
      <c r="G40" s="13" t="s">
        <v>200</v>
      </c>
      <c r="H40" s="13"/>
      <c r="I40" s="13"/>
      <c r="J40" s="13"/>
      <c r="K40" s="13"/>
      <c r="L40" s="13">
        <v>1</v>
      </c>
      <c r="M40" s="13"/>
      <c r="N40" s="13"/>
      <c r="O40" s="13"/>
      <c r="P40" s="13"/>
      <c r="Q40" s="13" t="s">
        <v>61</v>
      </c>
      <c r="R40" s="13"/>
      <c r="S40" s="13"/>
    </row>
    <row r="41" spans="2:19">
      <c r="B41" s="13" t="s">
        <v>61</v>
      </c>
      <c r="C41" s="14">
        <v>195968</v>
      </c>
      <c r="D41" s="13" t="s">
        <v>33</v>
      </c>
      <c r="E41" s="13" t="s">
        <v>74</v>
      </c>
      <c r="F41" s="13">
        <v>5</v>
      </c>
      <c r="G41" s="13" t="s">
        <v>35</v>
      </c>
      <c r="H41" s="13"/>
      <c r="I41" s="13"/>
      <c r="J41" s="13"/>
      <c r="K41" s="13"/>
      <c r="L41" s="13">
        <v>1</v>
      </c>
      <c r="M41" s="13"/>
      <c r="N41" s="13"/>
      <c r="O41" s="13"/>
      <c r="P41" s="13"/>
      <c r="Q41" s="13" t="s">
        <v>61</v>
      </c>
      <c r="R41" s="13"/>
      <c r="S41" s="13"/>
    </row>
    <row r="42" spans="2:19">
      <c r="B42" s="13" t="s">
        <v>61</v>
      </c>
      <c r="C42" s="14">
        <v>195968</v>
      </c>
      <c r="D42" s="13" t="s">
        <v>33</v>
      </c>
      <c r="E42" s="13" t="s">
        <v>317</v>
      </c>
      <c r="F42" s="13">
        <v>5</v>
      </c>
      <c r="G42" s="13" t="s">
        <v>200</v>
      </c>
      <c r="H42" s="13"/>
      <c r="I42" s="13"/>
      <c r="J42" s="13"/>
      <c r="K42" s="13"/>
      <c r="L42" s="13">
        <v>1</v>
      </c>
      <c r="M42" s="13"/>
      <c r="N42" s="13"/>
      <c r="O42" s="13"/>
      <c r="P42" s="13"/>
      <c r="Q42" s="13" t="s">
        <v>61</v>
      </c>
      <c r="R42" s="13"/>
      <c r="S42" s="13"/>
    </row>
    <row r="43" spans="2:19">
      <c r="B43" s="13" t="s">
        <v>61</v>
      </c>
      <c r="C43" s="14">
        <v>195968</v>
      </c>
      <c r="D43" s="13" t="s">
        <v>33</v>
      </c>
      <c r="E43" s="13" t="s">
        <v>318</v>
      </c>
      <c r="F43" s="13">
        <v>5</v>
      </c>
      <c r="G43" s="13" t="s">
        <v>200</v>
      </c>
      <c r="H43" s="13"/>
      <c r="I43" s="13"/>
      <c r="J43" s="13"/>
      <c r="K43" s="13"/>
      <c r="L43" s="13">
        <v>1</v>
      </c>
      <c r="M43" s="13"/>
      <c r="N43" s="13"/>
      <c r="O43" s="13"/>
      <c r="P43" s="13"/>
      <c r="Q43" s="13" t="s">
        <v>61</v>
      </c>
      <c r="R43" s="13"/>
      <c r="S43" s="13"/>
    </row>
    <row r="44" spans="2:19">
      <c r="B44" s="13" t="s">
        <v>61</v>
      </c>
      <c r="C44" s="14">
        <v>195968</v>
      </c>
      <c r="D44" s="13" t="s">
        <v>33</v>
      </c>
      <c r="E44" s="13" t="s">
        <v>319</v>
      </c>
      <c r="F44" s="13">
        <v>5</v>
      </c>
      <c r="G44" s="13" t="s">
        <v>200</v>
      </c>
      <c r="H44" s="13"/>
      <c r="I44" s="13"/>
      <c r="J44" s="13"/>
      <c r="K44" s="13"/>
      <c r="L44" s="13">
        <v>1</v>
      </c>
      <c r="M44" s="13"/>
      <c r="N44" s="13"/>
      <c r="O44" s="13"/>
      <c r="P44" s="13"/>
      <c r="Q44" s="13" t="s">
        <v>61</v>
      </c>
      <c r="R44" s="13"/>
      <c r="S44" s="13"/>
    </row>
    <row r="45" spans="2:19">
      <c r="B45" s="13" t="s">
        <v>61</v>
      </c>
      <c r="C45" s="14">
        <v>195968</v>
      </c>
      <c r="D45" s="13" t="s">
        <v>33</v>
      </c>
      <c r="E45" s="13" t="s">
        <v>78</v>
      </c>
      <c r="F45" s="13">
        <v>3</v>
      </c>
      <c r="G45" s="13" t="s">
        <v>38</v>
      </c>
      <c r="H45" s="13"/>
      <c r="I45" s="13"/>
      <c r="J45" s="13"/>
      <c r="K45" s="13"/>
      <c r="L45" s="13">
        <v>1</v>
      </c>
      <c r="M45" s="13"/>
      <c r="N45" s="13"/>
      <c r="O45" s="13"/>
      <c r="P45" s="13"/>
      <c r="Q45" s="13" t="s">
        <v>61</v>
      </c>
      <c r="R45" s="13"/>
      <c r="S45" s="13"/>
    </row>
    <row r="46" spans="2:19">
      <c r="B46" s="13" t="s">
        <v>61</v>
      </c>
      <c r="C46" s="14">
        <v>195968</v>
      </c>
      <c r="D46" s="13" t="s">
        <v>33</v>
      </c>
      <c r="E46" s="13" t="s">
        <v>320</v>
      </c>
      <c r="F46" s="13">
        <v>5</v>
      </c>
      <c r="G46" s="13" t="s">
        <v>38</v>
      </c>
      <c r="H46" s="13"/>
      <c r="I46" s="13"/>
      <c r="J46" s="13"/>
      <c r="K46" s="13"/>
      <c r="L46" s="13">
        <v>1</v>
      </c>
      <c r="M46" s="13"/>
      <c r="N46" s="13"/>
      <c r="O46" s="13"/>
      <c r="P46" s="13"/>
      <c r="Q46" s="13" t="s">
        <v>61</v>
      </c>
      <c r="R46" s="13"/>
      <c r="S46" s="13"/>
    </row>
    <row r="47" spans="2:19">
      <c r="B47" s="13" t="s">
        <v>61</v>
      </c>
      <c r="C47" s="14">
        <v>195968</v>
      </c>
      <c r="D47" s="13" t="s">
        <v>33</v>
      </c>
      <c r="E47" s="13" t="s">
        <v>201</v>
      </c>
      <c r="F47" s="13">
        <v>3</v>
      </c>
      <c r="G47" s="13" t="s">
        <v>35</v>
      </c>
      <c r="H47" s="13"/>
      <c r="I47" s="13"/>
      <c r="J47" s="13"/>
      <c r="K47" s="13"/>
      <c r="L47" s="13">
        <v>1</v>
      </c>
      <c r="M47" s="13"/>
      <c r="N47" s="13"/>
      <c r="O47" s="13"/>
      <c r="P47" s="13"/>
      <c r="Q47" s="13" t="s">
        <v>61</v>
      </c>
      <c r="R47" s="13"/>
      <c r="S47" s="13"/>
    </row>
    <row r="48" spans="2:19">
      <c r="B48" s="13" t="s">
        <v>61</v>
      </c>
      <c r="C48" s="14">
        <v>195968</v>
      </c>
      <c r="D48" s="13" t="s">
        <v>33</v>
      </c>
      <c r="E48" s="13" t="s">
        <v>80</v>
      </c>
      <c r="F48" s="13">
        <v>5</v>
      </c>
      <c r="G48" s="13" t="s">
        <v>200</v>
      </c>
      <c r="H48" s="13"/>
      <c r="I48" s="13"/>
      <c r="J48" s="13"/>
      <c r="K48" s="13"/>
      <c r="L48" s="13">
        <v>1</v>
      </c>
      <c r="M48" s="13"/>
      <c r="N48" s="13"/>
      <c r="O48" s="13"/>
      <c r="P48" s="13"/>
      <c r="Q48" s="13" t="s">
        <v>61</v>
      </c>
      <c r="R48" s="13"/>
      <c r="S48" s="13"/>
    </row>
    <row r="49" spans="2:19">
      <c r="B49" s="13" t="s">
        <v>61</v>
      </c>
      <c r="C49" s="14">
        <v>195968</v>
      </c>
      <c r="D49" s="13" t="s">
        <v>33</v>
      </c>
      <c r="E49" s="13" t="s">
        <v>202</v>
      </c>
      <c r="F49" s="13">
        <v>3</v>
      </c>
      <c r="G49" s="13" t="s">
        <v>38</v>
      </c>
      <c r="H49" s="13"/>
      <c r="I49" s="13"/>
      <c r="J49" s="13"/>
      <c r="K49" s="13"/>
      <c r="L49" s="13">
        <v>1</v>
      </c>
      <c r="M49" s="13"/>
      <c r="N49" s="13"/>
      <c r="O49" s="13"/>
      <c r="P49" s="13"/>
      <c r="Q49" s="13" t="s">
        <v>61</v>
      </c>
      <c r="R49" s="13"/>
      <c r="S49" s="13"/>
    </row>
    <row r="50" spans="2:19">
      <c r="B50" s="13" t="s">
        <v>61</v>
      </c>
      <c r="C50" s="14">
        <v>195969</v>
      </c>
      <c r="D50" s="13" t="s">
        <v>33</v>
      </c>
      <c r="E50" s="13" t="s">
        <v>203</v>
      </c>
      <c r="F50" s="13">
        <v>5</v>
      </c>
      <c r="G50" s="13" t="s">
        <v>38</v>
      </c>
      <c r="H50" s="13"/>
      <c r="I50" s="13"/>
      <c r="J50" s="13"/>
      <c r="K50" s="13"/>
      <c r="L50" s="13">
        <v>2</v>
      </c>
      <c r="M50" s="13"/>
      <c r="N50" s="13"/>
      <c r="O50" s="13"/>
      <c r="P50" s="13"/>
      <c r="Q50" s="13" t="s">
        <v>61</v>
      </c>
      <c r="R50" s="13"/>
      <c r="S50" s="13"/>
    </row>
    <row r="51" spans="2:19">
      <c r="B51" s="13" t="s">
        <v>61</v>
      </c>
      <c r="C51" s="14">
        <v>195969</v>
      </c>
      <c r="D51" s="13" t="s">
        <v>33</v>
      </c>
      <c r="E51" s="13" t="s">
        <v>321</v>
      </c>
      <c r="F51" s="13">
        <v>5</v>
      </c>
      <c r="G51" s="13" t="s">
        <v>35</v>
      </c>
      <c r="H51" s="13"/>
      <c r="I51" s="13"/>
      <c r="J51" s="13"/>
      <c r="K51" s="13"/>
      <c r="L51" s="13">
        <v>2</v>
      </c>
      <c r="M51" s="13"/>
      <c r="N51" s="13" t="s">
        <v>8</v>
      </c>
      <c r="O51" s="13"/>
      <c r="P51" s="13"/>
      <c r="Q51" s="13" t="s">
        <v>61</v>
      </c>
      <c r="R51" s="13"/>
      <c r="S51" s="13"/>
    </row>
    <row r="52" spans="2:19">
      <c r="B52" s="13" t="s">
        <v>61</v>
      </c>
      <c r="C52" s="14">
        <v>195969</v>
      </c>
      <c r="D52" s="13" t="s">
        <v>33</v>
      </c>
      <c r="E52" s="13" t="s">
        <v>322</v>
      </c>
      <c r="F52" s="13">
        <v>5</v>
      </c>
      <c r="G52" s="13" t="s">
        <v>200</v>
      </c>
      <c r="H52" s="13"/>
      <c r="I52" s="13"/>
      <c r="J52" s="13"/>
      <c r="K52" s="13"/>
      <c r="L52" s="13">
        <v>2</v>
      </c>
      <c r="M52" s="13"/>
      <c r="N52" s="13"/>
      <c r="O52" s="13"/>
      <c r="P52" s="13"/>
      <c r="Q52" s="13" t="s">
        <v>61</v>
      </c>
      <c r="R52" s="13"/>
      <c r="S52" s="13"/>
    </row>
    <row r="53" spans="2:19">
      <c r="B53" s="13" t="s">
        <v>64</v>
      </c>
      <c r="C53" s="14">
        <v>193289</v>
      </c>
      <c r="D53" s="13" t="s">
        <v>33</v>
      </c>
      <c r="E53" s="13" t="s">
        <v>299</v>
      </c>
      <c r="F53" s="13">
        <v>5</v>
      </c>
      <c r="G53" s="13" t="s">
        <v>38</v>
      </c>
      <c r="H53" s="13"/>
      <c r="I53" s="13"/>
      <c r="J53" s="13"/>
      <c r="K53" s="13"/>
      <c r="L53" s="13">
        <v>2</v>
      </c>
      <c r="M53" s="13"/>
      <c r="N53" s="13"/>
      <c r="O53" s="13"/>
      <c r="P53" s="13"/>
      <c r="Q53" s="13" t="s">
        <v>64</v>
      </c>
      <c r="R53" s="13"/>
      <c r="S53" s="13"/>
    </row>
    <row r="54" spans="2:19">
      <c r="B54" s="13" t="s">
        <v>204</v>
      </c>
      <c r="C54" s="14">
        <v>240010</v>
      </c>
      <c r="D54" s="13" t="s">
        <v>33</v>
      </c>
      <c r="E54" s="13" t="s">
        <v>205</v>
      </c>
      <c r="F54" s="13">
        <v>0</v>
      </c>
      <c r="G54" s="13" t="s">
        <v>42</v>
      </c>
      <c r="H54" s="13"/>
      <c r="I54" s="13"/>
      <c r="J54" s="13"/>
      <c r="K54" s="13"/>
      <c r="L54" s="13">
        <v>2</v>
      </c>
      <c r="M54" s="13"/>
      <c r="N54" s="13" t="s">
        <v>15</v>
      </c>
      <c r="O54" s="13"/>
      <c r="P54" s="13"/>
      <c r="Q54" s="13"/>
      <c r="R54" s="13"/>
      <c r="S54" s="13"/>
    </row>
    <row r="55" spans="2:19">
      <c r="B55" s="13" t="s">
        <v>204</v>
      </c>
      <c r="C55" s="14">
        <v>260486</v>
      </c>
      <c r="D55" s="13" t="s">
        <v>33</v>
      </c>
      <c r="E55" s="13" t="s">
        <v>206</v>
      </c>
      <c r="F55" s="13">
        <v>0</v>
      </c>
      <c r="G55" s="13" t="s">
        <v>196</v>
      </c>
      <c r="H55" s="13"/>
      <c r="I55" s="13"/>
      <c r="J55" s="13"/>
      <c r="K55" s="13"/>
      <c r="L55" s="13">
        <v>2</v>
      </c>
      <c r="M55" s="13"/>
      <c r="N55" s="13"/>
      <c r="O55" s="13"/>
      <c r="P55" s="13"/>
      <c r="Q55" s="13" t="s">
        <v>207</v>
      </c>
      <c r="R55" s="13"/>
      <c r="S55" s="13"/>
    </row>
    <row r="56" spans="2:19">
      <c r="B56" s="13" t="s">
        <v>208</v>
      </c>
      <c r="C56" s="14">
        <v>247821</v>
      </c>
      <c r="D56" s="13" t="s">
        <v>33</v>
      </c>
      <c r="E56" s="13" t="s">
        <v>323</v>
      </c>
      <c r="F56" s="13">
        <v>0</v>
      </c>
      <c r="G56" s="13" t="s">
        <v>196</v>
      </c>
      <c r="H56" s="13"/>
      <c r="I56" s="13"/>
      <c r="J56" s="13"/>
      <c r="K56" s="13"/>
      <c r="L56" s="13">
        <v>2</v>
      </c>
      <c r="M56" s="13"/>
      <c r="N56" s="13"/>
      <c r="O56" s="13"/>
      <c r="P56" s="13"/>
      <c r="Q56" s="13"/>
      <c r="R56" s="13"/>
      <c r="S56" s="13"/>
    </row>
    <row r="58" spans="2:19">
      <c r="B58" s="108" t="s">
        <v>324</v>
      </c>
    </row>
    <row r="59" spans="2:19">
      <c r="B59" s="13" t="s">
        <v>26</v>
      </c>
      <c r="C59" s="13" t="s">
        <v>27</v>
      </c>
      <c r="D59" s="13" t="s">
        <v>28</v>
      </c>
      <c r="E59" s="13" t="s">
        <v>29</v>
      </c>
      <c r="F59" s="13" t="s">
        <v>31</v>
      </c>
      <c r="G59" s="13" t="s">
        <v>30</v>
      </c>
      <c r="H59" s="13" t="s">
        <v>179</v>
      </c>
      <c r="I59" s="13" t="s">
        <v>180</v>
      </c>
      <c r="J59" s="13" t="s">
        <v>181</v>
      </c>
      <c r="K59" s="13" t="s">
        <v>182</v>
      </c>
      <c r="L59" s="13" t="s">
        <v>183</v>
      </c>
      <c r="M59" s="13" t="s">
        <v>184</v>
      </c>
      <c r="N59" s="13" t="s">
        <v>185</v>
      </c>
      <c r="O59" s="13" t="s">
        <v>186</v>
      </c>
      <c r="P59" s="13" t="s">
        <v>187</v>
      </c>
      <c r="Q59" s="13" t="s">
        <v>188</v>
      </c>
      <c r="R59" s="13" t="s">
        <v>189</v>
      </c>
      <c r="S59" s="13" t="s">
        <v>190</v>
      </c>
    </row>
    <row r="60" spans="2:19">
      <c r="B60" s="13" t="s">
        <v>32</v>
      </c>
      <c r="C60" s="14">
        <v>260293</v>
      </c>
      <c r="D60" s="13" t="s">
        <v>33</v>
      </c>
      <c r="E60" s="13" t="s">
        <v>36</v>
      </c>
      <c r="F60" s="13">
        <v>3</v>
      </c>
      <c r="G60" s="13" t="s">
        <v>306</v>
      </c>
      <c r="H60" s="13"/>
      <c r="I60" s="13"/>
      <c r="J60" s="13"/>
      <c r="K60" s="13"/>
      <c r="L60" s="13">
        <v>2</v>
      </c>
      <c r="M60" s="13"/>
      <c r="N60" s="13"/>
      <c r="O60" s="13"/>
      <c r="P60" s="13"/>
      <c r="Q60" s="13" t="s">
        <v>32</v>
      </c>
      <c r="R60" s="13"/>
      <c r="S60" s="13"/>
    </row>
    <row r="61" spans="2:19">
      <c r="B61" s="13"/>
      <c r="C61" s="14">
        <v>260177</v>
      </c>
      <c r="D61" s="13" t="s">
        <v>211</v>
      </c>
      <c r="E61" s="13" t="s">
        <v>212</v>
      </c>
      <c r="F61" s="13"/>
      <c r="G61" s="13" t="s">
        <v>81</v>
      </c>
      <c r="H61" s="13" t="s">
        <v>12</v>
      </c>
      <c r="I61" s="13">
        <v>3</v>
      </c>
      <c r="J61" s="13">
        <v>6</v>
      </c>
      <c r="K61" s="13">
        <v>0</v>
      </c>
      <c r="L61" s="13">
        <v>2</v>
      </c>
      <c r="M61" s="13"/>
      <c r="N61" s="13"/>
      <c r="O61" s="13"/>
      <c r="P61" s="13"/>
      <c r="Q61" s="13"/>
      <c r="R61" s="13" t="s">
        <v>8</v>
      </c>
      <c r="S61" s="13" t="s">
        <v>13</v>
      </c>
    </row>
    <row r="62" spans="2:19">
      <c r="B62" s="13"/>
      <c r="C62" s="14">
        <v>260177</v>
      </c>
      <c r="D62" s="13" t="s">
        <v>211</v>
      </c>
      <c r="E62" s="13" t="s">
        <v>325</v>
      </c>
      <c r="F62" s="13"/>
      <c r="G62" s="13" t="s">
        <v>81</v>
      </c>
      <c r="H62" s="13" t="s">
        <v>12</v>
      </c>
      <c r="I62" s="13">
        <v>5</v>
      </c>
      <c r="J62" s="13">
        <v>4</v>
      </c>
      <c r="K62" s="13">
        <v>1</v>
      </c>
      <c r="L62" s="13">
        <v>2</v>
      </c>
      <c r="M62" s="13"/>
      <c r="N62" s="13"/>
      <c r="O62" s="13"/>
      <c r="P62" s="13"/>
      <c r="Q62" s="13"/>
      <c r="R62" s="13" t="s">
        <v>8</v>
      </c>
      <c r="S62" s="13" t="s">
        <v>13</v>
      </c>
    </row>
    <row r="63" spans="2:19">
      <c r="B63" s="13" t="s">
        <v>32</v>
      </c>
      <c r="C63" s="14">
        <v>227974</v>
      </c>
      <c r="D63" s="13" t="s">
        <v>33</v>
      </c>
      <c r="E63" s="13" t="s">
        <v>192</v>
      </c>
      <c r="F63" s="13">
        <v>3</v>
      </c>
      <c r="G63" s="13" t="s">
        <v>306</v>
      </c>
      <c r="H63" s="13"/>
      <c r="I63" s="13"/>
      <c r="J63" s="13"/>
      <c r="K63" s="13"/>
      <c r="L63" s="13">
        <v>2</v>
      </c>
      <c r="M63" s="13"/>
      <c r="N63" s="13"/>
      <c r="O63" s="13"/>
      <c r="P63" s="13"/>
      <c r="Q63" s="13" t="s">
        <v>32</v>
      </c>
      <c r="R63" s="13"/>
      <c r="S63" s="13"/>
    </row>
    <row r="64" spans="2:19">
      <c r="B64" s="13"/>
      <c r="C64" s="14">
        <v>251892</v>
      </c>
      <c r="D64" s="13" t="s">
        <v>211</v>
      </c>
      <c r="E64" s="13" t="s">
        <v>326</v>
      </c>
      <c r="F64" s="13"/>
      <c r="G64" s="13" t="s">
        <v>81</v>
      </c>
      <c r="H64" s="13" t="s">
        <v>16</v>
      </c>
      <c r="I64" s="13">
        <v>2</v>
      </c>
      <c r="J64" s="13">
        <v>2</v>
      </c>
      <c r="K64" s="13">
        <v>0</v>
      </c>
      <c r="L64" s="13">
        <v>2</v>
      </c>
      <c r="M64" s="13"/>
      <c r="N64" s="13"/>
      <c r="O64" s="13"/>
      <c r="P64" s="13"/>
      <c r="Q64" s="13" t="s">
        <v>82</v>
      </c>
      <c r="R64" s="13" t="s">
        <v>8</v>
      </c>
      <c r="S64" s="13" t="s">
        <v>13</v>
      </c>
    </row>
    <row r="65" spans="2:19">
      <c r="B65" s="13"/>
      <c r="C65" s="14">
        <v>251892</v>
      </c>
      <c r="D65" s="13" t="s">
        <v>211</v>
      </c>
      <c r="E65" s="13" t="s">
        <v>213</v>
      </c>
      <c r="F65" s="13"/>
      <c r="G65" s="13" t="s">
        <v>81</v>
      </c>
      <c r="H65" s="13" t="s">
        <v>23</v>
      </c>
      <c r="I65" s="13">
        <v>4</v>
      </c>
      <c r="J65" s="13">
        <v>13.67</v>
      </c>
      <c r="K65" s="13">
        <v>0</v>
      </c>
      <c r="L65" s="13">
        <v>2</v>
      </c>
      <c r="M65" s="13"/>
      <c r="N65" s="13"/>
      <c r="O65" s="13"/>
      <c r="P65" s="13"/>
      <c r="Q65" s="13"/>
      <c r="R65" s="13" t="s">
        <v>9</v>
      </c>
      <c r="S65" s="13" t="s">
        <v>9</v>
      </c>
    </row>
    <row r="66" spans="2:19">
      <c r="B66" s="13" t="s">
        <v>32</v>
      </c>
      <c r="C66" s="14">
        <v>228363</v>
      </c>
      <c r="D66" s="13" t="s">
        <v>33</v>
      </c>
      <c r="E66" s="13" t="s">
        <v>307</v>
      </c>
      <c r="F66" s="13">
        <v>5</v>
      </c>
      <c r="G66" s="13" t="s">
        <v>306</v>
      </c>
      <c r="H66" s="13"/>
      <c r="I66" s="13"/>
      <c r="J66" s="13"/>
      <c r="K66" s="13"/>
      <c r="L66" s="13">
        <v>2</v>
      </c>
      <c r="M66" s="13"/>
      <c r="N66" s="13" t="s">
        <v>8</v>
      </c>
      <c r="O66" s="13"/>
      <c r="P66" s="13"/>
      <c r="Q66" s="13" t="s">
        <v>32</v>
      </c>
      <c r="R66" s="13"/>
      <c r="S66" s="13"/>
    </row>
    <row r="67" spans="2:19">
      <c r="B67" s="13"/>
      <c r="C67" s="14">
        <v>233816</v>
      </c>
      <c r="D67" s="13" t="s">
        <v>211</v>
      </c>
      <c r="E67" s="13" t="s">
        <v>327</v>
      </c>
      <c r="F67" s="13"/>
      <c r="G67" s="13" t="s">
        <v>81</v>
      </c>
      <c r="H67" s="13" t="s">
        <v>23</v>
      </c>
      <c r="I67" s="13">
        <v>4</v>
      </c>
      <c r="J67" s="13">
        <v>2.5</v>
      </c>
      <c r="K67" s="13">
        <v>0</v>
      </c>
      <c r="L67" s="13">
        <v>2</v>
      </c>
      <c r="M67" s="13"/>
      <c r="N67" s="13"/>
      <c r="O67" s="13"/>
      <c r="P67" s="13"/>
      <c r="Q67" s="13"/>
      <c r="R67" s="13" t="s">
        <v>9</v>
      </c>
      <c r="S67" s="13" t="s">
        <v>9</v>
      </c>
    </row>
    <row r="68" spans="2:19">
      <c r="B68" s="13" t="s">
        <v>32</v>
      </c>
      <c r="C68" s="14">
        <v>228369</v>
      </c>
      <c r="D68" s="13" t="s">
        <v>33</v>
      </c>
      <c r="E68" s="13" t="s">
        <v>193</v>
      </c>
      <c r="F68" s="13">
        <v>3</v>
      </c>
      <c r="G68" s="13" t="s">
        <v>306</v>
      </c>
      <c r="H68" s="13"/>
      <c r="I68" s="13"/>
      <c r="J68" s="13"/>
      <c r="K68" s="13"/>
      <c r="L68" s="13">
        <v>2</v>
      </c>
      <c r="M68" s="13"/>
      <c r="N68" s="13"/>
      <c r="O68" s="13"/>
      <c r="P68" s="13"/>
      <c r="Q68" s="13" t="s">
        <v>32</v>
      </c>
      <c r="R68" s="13"/>
      <c r="S68" s="13"/>
    </row>
    <row r="69" spans="2:19">
      <c r="B69" s="13"/>
      <c r="C69" s="14">
        <v>233934</v>
      </c>
      <c r="D69" s="13" t="s">
        <v>211</v>
      </c>
      <c r="E69" s="13" t="s">
        <v>214</v>
      </c>
      <c r="F69" s="13"/>
      <c r="G69" s="13" t="s">
        <v>81</v>
      </c>
      <c r="H69" s="13" t="s">
        <v>16</v>
      </c>
      <c r="I69" s="13">
        <v>3</v>
      </c>
      <c r="J69" s="13">
        <v>3</v>
      </c>
      <c r="K69" s="13">
        <v>0</v>
      </c>
      <c r="L69" s="13">
        <v>2</v>
      </c>
      <c r="M69" s="13"/>
      <c r="N69" s="13"/>
      <c r="O69" s="13"/>
      <c r="P69" s="13"/>
      <c r="Q69" s="13"/>
      <c r="R69" s="13" t="s">
        <v>8</v>
      </c>
      <c r="S69" s="13" t="s">
        <v>13</v>
      </c>
    </row>
    <row r="70" spans="2:19">
      <c r="B70" s="13" t="s">
        <v>32</v>
      </c>
      <c r="C70" s="14">
        <v>255494</v>
      </c>
      <c r="D70" s="13" t="s">
        <v>33</v>
      </c>
      <c r="E70" s="13" t="s">
        <v>40</v>
      </c>
      <c r="F70" s="13">
        <v>3</v>
      </c>
      <c r="G70" s="13" t="s">
        <v>38</v>
      </c>
      <c r="H70" s="13"/>
      <c r="I70" s="13"/>
      <c r="J70" s="13"/>
      <c r="K70" s="13"/>
      <c r="L70" s="13">
        <v>2</v>
      </c>
      <c r="M70" s="13"/>
      <c r="N70" s="13"/>
      <c r="O70" s="13"/>
      <c r="P70" s="13"/>
      <c r="Q70" s="13" t="s">
        <v>32</v>
      </c>
      <c r="R70" s="13"/>
      <c r="S70" s="13"/>
    </row>
    <row r="71" spans="2:19">
      <c r="B71" s="13"/>
      <c r="C71" s="14">
        <v>255495</v>
      </c>
      <c r="D71" s="13" t="s">
        <v>211</v>
      </c>
      <c r="E71" s="13" t="s">
        <v>215</v>
      </c>
      <c r="F71" s="13"/>
      <c r="G71" s="13" t="s">
        <v>81</v>
      </c>
      <c r="H71" s="13" t="s">
        <v>16</v>
      </c>
      <c r="I71" s="13">
        <v>4</v>
      </c>
      <c r="J71" s="13">
        <v>4</v>
      </c>
      <c r="K71" s="13">
        <v>0</v>
      </c>
      <c r="L71" s="13">
        <v>2</v>
      </c>
      <c r="M71" s="13"/>
      <c r="N71" s="13"/>
      <c r="O71" s="13"/>
      <c r="P71" s="13"/>
      <c r="Q71" s="13"/>
      <c r="R71" s="13" t="s">
        <v>8</v>
      </c>
      <c r="S71" s="13" t="s">
        <v>13</v>
      </c>
    </row>
    <row r="72" spans="2:19">
      <c r="B72" s="13"/>
      <c r="C72" s="14">
        <v>255495</v>
      </c>
      <c r="D72" s="13" t="s">
        <v>211</v>
      </c>
      <c r="E72" s="13" t="s">
        <v>328</v>
      </c>
      <c r="F72" s="13"/>
      <c r="G72" s="13" t="s">
        <v>42</v>
      </c>
      <c r="H72" s="13" t="s">
        <v>217</v>
      </c>
      <c r="I72" s="13">
        <v>5</v>
      </c>
      <c r="J72" s="13">
        <v>4.4000000000000004</v>
      </c>
      <c r="K72" s="13">
        <v>0.6</v>
      </c>
      <c r="L72" s="13">
        <v>2</v>
      </c>
      <c r="M72" s="13"/>
      <c r="N72" s="13"/>
      <c r="O72" s="13"/>
      <c r="P72" s="13"/>
      <c r="Q72" s="13"/>
      <c r="R72" s="13" t="s">
        <v>9</v>
      </c>
      <c r="S72" s="13" t="s">
        <v>9</v>
      </c>
    </row>
    <row r="73" spans="2:19">
      <c r="B73" s="13" t="s">
        <v>32</v>
      </c>
      <c r="C73" s="14">
        <v>227974</v>
      </c>
      <c r="D73" s="13" t="s">
        <v>33</v>
      </c>
      <c r="E73" s="13" t="s">
        <v>194</v>
      </c>
      <c r="F73" s="13">
        <v>5</v>
      </c>
      <c r="G73" s="13" t="s">
        <v>42</v>
      </c>
      <c r="H73" s="13"/>
      <c r="I73" s="13"/>
      <c r="J73" s="13"/>
      <c r="K73" s="13"/>
      <c r="L73" s="13">
        <v>2</v>
      </c>
      <c r="M73" s="13"/>
      <c r="N73" s="13"/>
      <c r="O73" s="13"/>
      <c r="P73" s="13"/>
      <c r="Q73" s="13" t="s">
        <v>32</v>
      </c>
      <c r="R73" s="13"/>
      <c r="S73" s="13"/>
    </row>
    <row r="74" spans="2:19">
      <c r="B74" s="13"/>
      <c r="C74" s="14">
        <v>250832</v>
      </c>
      <c r="D74" s="13" t="s">
        <v>211</v>
      </c>
      <c r="E74" s="13" t="s">
        <v>216</v>
      </c>
      <c r="F74" s="13"/>
      <c r="G74" s="13" t="s">
        <v>35</v>
      </c>
      <c r="H74" s="13" t="s">
        <v>23</v>
      </c>
      <c r="I74" s="13">
        <v>5</v>
      </c>
      <c r="J74" s="13">
        <v>5</v>
      </c>
      <c r="K74" s="13">
        <v>0</v>
      </c>
      <c r="L74" s="13">
        <v>2</v>
      </c>
      <c r="M74" s="13"/>
      <c r="N74" s="13"/>
      <c r="O74" s="13"/>
      <c r="P74" s="13"/>
      <c r="Q74" s="13"/>
      <c r="R74" s="13" t="s">
        <v>9</v>
      </c>
      <c r="S74" s="13" t="s">
        <v>9</v>
      </c>
    </row>
    <row r="75" spans="2:19">
      <c r="B75" s="13"/>
      <c r="C75" s="14">
        <v>250832</v>
      </c>
      <c r="D75" s="13" t="s">
        <v>211</v>
      </c>
      <c r="E75" s="13" t="s">
        <v>218</v>
      </c>
      <c r="F75" s="13"/>
      <c r="G75" s="13" t="s">
        <v>81</v>
      </c>
      <c r="H75" s="13" t="s">
        <v>217</v>
      </c>
      <c r="I75" s="13">
        <v>3</v>
      </c>
      <c r="J75" s="13">
        <v>7.67</v>
      </c>
      <c r="K75" s="13">
        <v>0</v>
      </c>
      <c r="L75" s="13">
        <v>2</v>
      </c>
      <c r="M75" s="13"/>
      <c r="N75" s="13"/>
      <c r="O75" s="13"/>
      <c r="P75" s="13"/>
      <c r="Q75" s="13"/>
      <c r="R75" s="13" t="s">
        <v>9</v>
      </c>
      <c r="S75" s="13" t="s">
        <v>9</v>
      </c>
    </row>
    <row r="76" spans="2:19">
      <c r="B76" s="13"/>
      <c r="C76" s="14">
        <v>250832</v>
      </c>
      <c r="D76" s="13" t="s">
        <v>211</v>
      </c>
      <c r="E76" s="13" t="s">
        <v>219</v>
      </c>
      <c r="F76" s="13"/>
      <c r="G76" s="13" t="s">
        <v>81</v>
      </c>
      <c r="H76" s="13" t="s">
        <v>217</v>
      </c>
      <c r="I76" s="13">
        <v>5</v>
      </c>
      <c r="J76" s="13">
        <v>16.34</v>
      </c>
      <c r="K76" s="13">
        <v>0</v>
      </c>
      <c r="L76" s="13">
        <v>2</v>
      </c>
      <c r="M76" s="13"/>
      <c r="N76" s="13"/>
      <c r="O76" s="13"/>
      <c r="P76" s="13"/>
      <c r="Q76" s="13"/>
      <c r="R76" s="13" t="s">
        <v>9</v>
      </c>
      <c r="S76" s="13" t="s">
        <v>9</v>
      </c>
    </row>
    <row r="77" spans="2:19">
      <c r="B77" s="13"/>
      <c r="C77" s="14">
        <v>250832</v>
      </c>
      <c r="D77" s="13" t="s">
        <v>211</v>
      </c>
      <c r="E77" s="13" t="s">
        <v>221</v>
      </c>
      <c r="F77" s="13"/>
      <c r="G77" s="13" t="s">
        <v>81</v>
      </c>
      <c r="H77" s="13" t="s">
        <v>217</v>
      </c>
      <c r="I77" s="13">
        <v>3</v>
      </c>
      <c r="J77" s="13">
        <v>3.5</v>
      </c>
      <c r="K77" s="13">
        <v>0</v>
      </c>
      <c r="L77" s="13">
        <v>2</v>
      </c>
      <c r="M77" s="13"/>
      <c r="N77" s="13"/>
      <c r="O77" s="13"/>
      <c r="P77" s="13"/>
      <c r="Q77" s="13"/>
      <c r="R77" s="13" t="s">
        <v>9</v>
      </c>
      <c r="S77" s="13" t="s">
        <v>9</v>
      </c>
    </row>
    <row r="78" spans="2:19">
      <c r="B78" s="13"/>
      <c r="C78" s="14">
        <v>250832</v>
      </c>
      <c r="D78" s="13" t="s">
        <v>211</v>
      </c>
      <c r="E78" s="13" t="s">
        <v>222</v>
      </c>
      <c r="F78" s="13"/>
      <c r="G78" s="13" t="s">
        <v>81</v>
      </c>
      <c r="H78" s="13" t="s">
        <v>217</v>
      </c>
      <c r="I78" s="13">
        <v>2</v>
      </c>
      <c r="J78" s="13">
        <v>14.5</v>
      </c>
      <c r="K78" s="13">
        <v>0</v>
      </c>
      <c r="L78" s="13">
        <v>2</v>
      </c>
      <c r="M78" s="13"/>
      <c r="N78" s="13"/>
      <c r="O78" s="13"/>
      <c r="P78" s="13"/>
      <c r="Q78" s="13"/>
      <c r="R78" s="13" t="s">
        <v>9</v>
      </c>
      <c r="S78" s="13" t="s">
        <v>9</v>
      </c>
    </row>
    <row r="79" spans="2:19">
      <c r="B79" s="13"/>
      <c r="C79" s="14">
        <v>250832</v>
      </c>
      <c r="D79" s="13" t="s">
        <v>211</v>
      </c>
      <c r="E79" s="13" t="s">
        <v>223</v>
      </c>
      <c r="F79" s="13"/>
      <c r="G79" s="13" t="s">
        <v>81</v>
      </c>
      <c r="H79" s="13" t="s">
        <v>217</v>
      </c>
      <c r="I79" s="13">
        <v>3</v>
      </c>
      <c r="J79" s="13">
        <v>3.92</v>
      </c>
      <c r="K79" s="13">
        <v>0</v>
      </c>
      <c r="L79" s="13">
        <v>2</v>
      </c>
      <c r="M79" s="13"/>
      <c r="N79" s="13"/>
      <c r="O79" s="13"/>
      <c r="P79" s="13"/>
      <c r="Q79" s="13"/>
      <c r="R79" s="13" t="s">
        <v>9</v>
      </c>
      <c r="S79" s="13" t="s">
        <v>9</v>
      </c>
    </row>
    <row r="80" spans="2:19">
      <c r="B80" s="13"/>
      <c r="C80" s="14">
        <v>250832</v>
      </c>
      <c r="D80" s="13" t="s">
        <v>211</v>
      </c>
      <c r="E80" s="13" t="s">
        <v>224</v>
      </c>
      <c r="F80" s="13"/>
      <c r="G80" s="13" t="s">
        <v>81</v>
      </c>
      <c r="H80" s="13" t="s">
        <v>217</v>
      </c>
      <c r="I80" s="13">
        <v>6</v>
      </c>
      <c r="J80" s="13">
        <v>7.07</v>
      </c>
      <c r="K80" s="13">
        <v>0</v>
      </c>
      <c r="L80" s="13">
        <v>2</v>
      </c>
      <c r="M80" s="13"/>
      <c r="N80" s="13"/>
      <c r="O80" s="13"/>
      <c r="P80" s="13"/>
      <c r="Q80" s="13"/>
      <c r="R80" s="13" t="s">
        <v>9</v>
      </c>
      <c r="S80" s="13" t="s">
        <v>9</v>
      </c>
    </row>
    <row r="81" spans="2:19">
      <c r="B81" s="13"/>
      <c r="C81" s="14">
        <v>250832</v>
      </c>
      <c r="D81" s="13" t="s">
        <v>211</v>
      </c>
      <c r="E81" s="13" t="s">
        <v>225</v>
      </c>
      <c r="F81" s="13"/>
      <c r="G81" s="13" t="s">
        <v>81</v>
      </c>
      <c r="H81" s="13" t="s">
        <v>217</v>
      </c>
      <c r="I81" s="13">
        <v>4</v>
      </c>
      <c r="J81" s="13">
        <v>6</v>
      </c>
      <c r="K81" s="13">
        <v>0</v>
      </c>
      <c r="L81" s="13">
        <v>2</v>
      </c>
      <c r="M81" s="13"/>
      <c r="N81" s="13"/>
      <c r="O81" s="13"/>
      <c r="P81" s="13"/>
      <c r="Q81" s="13"/>
      <c r="R81" s="13" t="s">
        <v>226</v>
      </c>
      <c r="S81" s="13" t="s">
        <v>9</v>
      </c>
    </row>
    <row r="82" spans="2:19">
      <c r="B82" s="13"/>
      <c r="C82" s="14">
        <v>250832</v>
      </c>
      <c r="D82" s="13" t="s">
        <v>211</v>
      </c>
      <c r="E82" s="13" t="s">
        <v>227</v>
      </c>
      <c r="F82" s="13"/>
      <c r="G82" s="13" t="s">
        <v>81</v>
      </c>
      <c r="H82" s="13" t="s">
        <v>217</v>
      </c>
      <c r="I82" s="13">
        <v>5</v>
      </c>
      <c r="J82" s="13">
        <v>10.5</v>
      </c>
      <c r="K82" s="13">
        <v>0</v>
      </c>
      <c r="L82" s="13">
        <v>2</v>
      </c>
      <c r="M82" s="13"/>
      <c r="N82" s="13"/>
      <c r="O82" s="13"/>
      <c r="P82" s="13"/>
      <c r="Q82" s="13"/>
      <c r="R82" s="13" t="s">
        <v>9</v>
      </c>
      <c r="S82" s="13" t="s">
        <v>9</v>
      </c>
    </row>
    <row r="83" spans="2:19">
      <c r="B83" s="13"/>
      <c r="C83" s="14">
        <v>250832</v>
      </c>
      <c r="D83" s="13" t="s">
        <v>211</v>
      </c>
      <c r="E83" s="13" t="s">
        <v>329</v>
      </c>
      <c r="F83" s="13"/>
      <c r="G83" s="13" t="s">
        <v>81</v>
      </c>
      <c r="H83" s="13" t="s">
        <v>217</v>
      </c>
      <c r="I83" s="13">
        <v>3</v>
      </c>
      <c r="J83" s="13">
        <v>4.5</v>
      </c>
      <c r="K83" s="13">
        <v>0</v>
      </c>
      <c r="L83" s="13">
        <v>2</v>
      </c>
      <c r="M83" s="13"/>
      <c r="N83" s="13"/>
      <c r="O83" s="13"/>
      <c r="P83" s="13"/>
      <c r="Q83" s="13"/>
      <c r="R83" s="13" t="s">
        <v>226</v>
      </c>
      <c r="S83" s="13" t="s">
        <v>9</v>
      </c>
    </row>
    <row r="84" spans="2:19">
      <c r="B84" s="13"/>
      <c r="C84" s="14">
        <v>250832</v>
      </c>
      <c r="D84" s="13" t="s">
        <v>211</v>
      </c>
      <c r="E84" s="13" t="s">
        <v>330</v>
      </c>
      <c r="F84" s="13"/>
      <c r="G84" s="13" t="s">
        <v>35</v>
      </c>
      <c r="H84" s="13" t="s">
        <v>217</v>
      </c>
      <c r="I84" s="13">
        <v>7</v>
      </c>
      <c r="J84" s="13">
        <v>17</v>
      </c>
      <c r="K84" s="13">
        <v>0</v>
      </c>
      <c r="L84" s="13">
        <v>2</v>
      </c>
      <c r="M84" s="13"/>
      <c r="N84" s="13"/>
      <c r="O84" s="13"/>
      <c r="P84" s="13"/>
      <c r="Q84" s="13"/>
      <c r="R84" s="13" t="s">
        <v>9</v>
      </c>
      <c r="S84" s="13" t="s">
        <v>9</v>
      </c>
    </row>
    <row r="85" spans="2:19">
      <c r="B85" s="13"/>
      <c r="C85" s="14">
        <v>250832</v>
      </c>
      <c r="D85" s="13" t="s">
        <v>211</v>
      </c>
      <c r="E85" s="13" t="s">
        <v>331</v>
      </c>
      <c r="F85" s="13"/>
      <c r="G85" s="13" t="s">
        <v>81</v>
      </c>
      <c r="H85" s="13" t="s">
        <v>217</v>
      </c>
      <c r="I85" s="13">
        <v>4</v>
      </c>
      <c r="J85" s="13">
        <v>2</v>
      </c>
      <c r="K85" s="13">
        <v>2</v>
      </c>
      <c r="L85" s="13">
        <v>2</v>
      </c>
      <c r="M85" s="13"/>
      <c r="N85" s="13"/>
      <c r="O85" s="13"/>
      <c r="P85" s="13"/>
      <c r="Q85" s="13"/>
      <c r="R85" s="13" t="s">
        <v>226</v>
      </c>
      <c r="S85" s="13" t="s">
        <v>9</v>
      </c>
    </row>
    <row r="86" spans="2:19">
      <c r="B86" s="13"/>
      <c r="C86" s="14">
        <v>250832</v>
      </c>
      <c r="D86" s="13" t="s">
        <v>211</v>
      </c>
      <c r="E86" s="13" t="s">
        <v>332</v>
      </c>
      <c r="F86" s="13"/>
      <c r="G86" s="13" t="s">
        <v>81</v>
      </c>
      <c r="H86" s="13" t="s">
        <v>217</v>
      </c>
      <c r="I86" s="13">
        <v>3</v>
      </c>
      <c r="J86" s="13">
        <v>1.5</v>
      </c>
      <c r="K86" s="13">
        <v>1.5</v>
      </c>
      <c r="L86" s="13">
        <v>2</v>
      </c>
      <c r="M86" s="13"/>
      <c r="N86" s="13"/>
      <c r="O86" s="13"/>
      <c r="P86" s="13"/>
      <c r="Q86" s="13"/>
      <c r="R86" s="13" t="s">
        <v>9</v>
      </c>
      <c r="S86" s="13" t="s">
        <v>9</v>
      </c>
    </row>
    <row r="87" spans="2:19">
      <c r="B87" s="13"/>
      <c r="C87" s="14">
        <v>250832</v>
      </c>
      <c r="D87" s="13" t="s">
        <v>211</v>
      </c>
      <c r="E87" s="13" t="s">
        <v>228</v>
      </c>
      <c r="F87" s="13"/>
      <c r="G87" s="13" t="s">
        <v>35</v>
      </c>
      <c r="H87" s="13" t="s">
        <v>217</v>
      </c>
      <c r="I87" s="13">
        <v>2</v>
      </c>
      <c r="J87" s="13">
        <v>1.85</v>
      </c>
      <c r="K87" s="13">
        <v>0.15</v>
      </c>
      <c r="L87" s="13">
        <v>2</v>
      </c>
      <c r="M87" s="13"/>
      <c r="N87" s="13"/>
      <c r="O87" s="13"/>
      <c r="P87" s="13"/>
      <c r="Q87" s="13"/>
      <c r="R87" s="13" t="s">
        <v>9</v>
      </c>
      <c r="S87" s="13" t="s">
        <v>9</v>
      </c>
    </row>
    <row r="88" spans="2:19">
      <c r="B88" s="13"/>
      <c r="C88" s="14">
        <v>250832</v>
      </c>
      <c r="D88" s="13" t="s">
        <v>211</v>
      </c>
      <c r="E88" s="13" t="s">
        <v>333</v>
      </c>
      <c r="F88" s="13"/>
      <c r="G88" s="13" t="s">
        <v>77</v>
      </c>
      <c r="H88" s="13" t="s">
        <v>217</v>
      </c>
      <c r="I88" s="13">
        <v>1</v>
      </c>
      <c r="J88" s="13">
        <v>0</v>
      </c>
      <c r="K88" s="13">
        <v>1</v>
      </c>
      <c r="L88" s="13">
        <v>2</v>
      </c>
      <c r="M88" s="13"/>
      <c r="N88" s="13"/>
      <c r="O88" s="13"/>
      <c r="P88" s="13"/>
      <c r="Q88" s="13"/>
      <c r="R88" s="13" t="s">
        <v>9</v>
      </c>
      <c r="S88" s="13" t="s">
        <v>9</v>
      </c>
    </row>
    <row r="89" spans="2:19">
      <c r="B89" s="13"/>
      <c r="C89" s="14">
        <v>250832</v>
      </c>
      <c r="D89" s="13" t="s">
        <v>211</v>
      </c>
      <c r="E89" s="13" t="s">
        <v>220</v>
      </c>
      <c r="F89" s="13"/>
      <c r="G89" s="13" t="s">
        <v>77</v>
      </c>
      <c r="H89" s="13" t="s">
        <v>217</v>
      </c>
      <c r="I89" s="13">
        <v>1</v>
      </c>
      <c r="J89" s="13">
        <v>0</v>
      </c>
      <c r="K89" s="13">
        <v>1</v>
      </c>
      <c r="L89" s="13">
        <v>2</v>
      </c>
      <c r="M89" s="13"/>
      <c r="N89" s="13"/>
      <c r="O89" s="13"/>
      <c r="P89" s="13"/>
      <c r="Q89" s="13"/>
      <c r="R89" s="13" t="s">
        <v>9</v>
      </c>
      <c r="S89" s="13" t="s">
        <v>9</v>
      </c>
    </row>
    <row r="90" spans="2:19">
      <c r="B90" s="13"/>
      <c r="C90" s="14">
        <v>250832</v>
      </c>
      <c r="D90" s="13" t="s">
        <v>211</v>
      </c>
      <c r="E90" s="13" t="s">
        <v>334</v>
      </c>
      <c r="F90" s="13"/>
      <c r="G90" s="13" t="s">
        <v>77</v>
      </c>
      <c r="H90" s="13" t="s">
        <v>217</v>
      </c>
      <c r="I90" s="13">
        <v>2</v>
      </c>
      <c r="J90" s="13">
        <v>0</v>
      </c>
      <c r="K90" s="13">
        <v>2</v>
      </c>
      <c r="L90" s="13">
        <v>2</v>
      </c>
      <c r="M90" s="13"/>
      <c r="N90" s="13"/>
      <c r="O90" s="13"/>
      <c r="P90" s="13"/>
      <c r="Q90" s="13"/>
      <c r="R90" s="13" t="s">
        <v>9</v>
      </c>
      <c r="S90" s="13" t="s">
        <v>9</v>
      </c>
    </row>
    <row r="91" spans="2:19">
      <c r="B91" s="13"/>
      <c r="C91" s="14">
        <v>250832</v>
      </c>
      <c r="D91" s="13" t="s">
        <v>211</v>
      </c>
      <c r="E91" s="13" t="s">
        <v>335</v>
      </c>
      <c r="F91" s="13"/>
      <c r="G91" s="13" t="s">
        <v>81</v>
      </c>
      <c r="H91" s="13" t="s">
        <v>217</v>
      </c>
      <c r="I91" s="13">
        <v>5</v>
      </c>
      <c r="J91" s="13">
        <v>4</v>
      </c>
      <c r="K91" s="13">
        <v>1</v>
      </c>
      <c r="L91" s="13">
        <v>2</v>
      </c>
      <c r="M91" s="13"/>
      <c r="N91" s="13"/>
      <c r="O91" s="13"/>
      <c r="P91" s="13"/>
      <c r="Q91" s="13"/>
      <c r="R91" s="13" t="s">
        <v>9</v>
      </c>
      <c r="S91" s="13" t="s">
        <v>9</v>
      </c>
    </row>
    <row r="92" spans="2:19">
      <c r="B92" s="13"/>
      <c r="C92" s="14">
        <v>250832</v>
      </c>
      <c r="D92" s="13" t="s">
        <v>211</v>
      </c>
      <c r="E92" s="13" t="s">
        <v>230</v>
      </c>
      <c r="F92" s="13"/>
      <c r="G92" s="13" t="s">
        <v>35</v>
      </c>
      <c r="H92" s="13" t="s">
        <v>23</v>
      </c>
      <c r="I92" s="13">
        <v>4</v>
      </c>
      <c r="J92" s="13">
        <v>4</v>
      </c>
      <c r="K92" s="13">
        <v>0</v>
      </c>
      <c r="L92" s="13">
        <v>2</v>
      </c>
      <c r="M92" s="13"/>
      <c r="N92" s="13"/>
      <c r="O92" s="13"/>
      <c r="P92" s="13"/>
      <c r="Q92" s="13"/>
      <c r="R92" s="13" t="s">
        <v>226</v>
      </c>
      <c r="S92" s="13" t="s">
        <v>9</v>
      </c>
    </row>
    <row r="93" spans="2:19">
      <c r="B93" s="13"/>
      <c r="C93" s="14">
        <v>250832</v>
      </c>
      <c r="D93" s="13" t="s">
        <v>211</v>
      </c>
      <c r="E93" s="13" t="s">
        <v>231</v>
      </c>
      <c r="F93" s="13"/>
      <c r="G93" s="13" t="s">
        <v>35</v>
      </c>
      <c r="H93" s="13" t="s">
        <v>23</v>
      </c>
      <c r="I93" s="13">
        <v>5</v>
      </c>
      <c r="J93" s="13">
        <v>4</v>
      </c>
      <c r="K93" s="13">
        <v>1</v>
      </c>
      <c r="L93" s="13">
        <v>2</v>
      </c>
      <c r="M93" s="13"/>
      <c r="N93" s="13"/>
      <c r="O93" s="13"/>
      <c r="P93" s="13"/>
      <c r="Q93" s="13"/>
      <c r="R93" s="13" t="s">
        <v>9</v>
      </c>
      <c r="S93" s="13" t="s">
        <v>9</v>
      </c>
    </row>
    <row r="94" spans="2:19">
      <c r="B94" s="13"/>
      <c r="C94" s="14">
        <v>250832</v>
      </c>
      <c r="D94" s="13" t="s">
        <v>211</v>
      </c>
      <c r="E94" s="13" t="s">
        <v>229</v>
      </c>
      <c r="F94" s="13"/>
      <c r="G94" s="13" t="s">
        <v>35</v>
      </c>
      <c r="H94" s="13" t="s">
        <v>23</v>
      </c>
      <c r="I94" s="13">
        <v>7</v>
      </c>
      <c r="J94" s="13">
        <v>10.58</v>
      </c>
      <c r="K94" s="13">
        <v>0</v>
      </c>
      <c r="L94" s="13">
        <v>2</v>
      </c>
      <c r="M94" s="13"/>
      <c r="N94" s="13"/>
      <c r="O94" s="13"/>
      <c r="P94" s="13"/>
      <c r="Q94" s="13"/>
      <c r="R94" s="13" t="s">
        <v>226</v>
      </c>
      <c r="S94" s="13" t="s">
        <v>9</v>
      </c>
    </row>
    <row r="95" spans="2:19">
      <c r="B95" s="13"/>
      <c r="C95" s="14">
        <v>250832</v>
      </c>
      <c r="D95" s="13" t="s">
        <v>211</v>
      </c>
      <c r="E95" s="13" t="s">
        <v>336</v>
      </c>
      <c r="F95" s="13"/>
      <c r="G95" s="13" t="s">
        <v>35</v>
      </c>
      <c r="H95" s="13" t="s">
        <v>23</v>
      </c>
      <c r="I95" s="13">
        <v>2</v>
      </c>
      <c r="J95" s="13">
        <v>2</v>
      </c>
      <c r="K95" s="13">
        <v>0</v>
      </c>
      <c r="L95" s="13">
        <v>2</v>
      </c>
      <c r="M95" s="13"/>
      <c r="N95" s="13"/>
      <c r="O95" s="13"/>
      <c r="P95" s="13"/>
      <c r="Q95" s="13"/>
      <c r="R95" s="13" t="s">
        <v>226</v>
      </c>
      <c r="S95" s="13" t="s">
        <v>9</v>
      </c>
    </row>
    <row r="96" spans="2:19">
      <c r="B96" s="13"/>
      <c r="C96" s="14">
        <v>250832</v>
      </c>
      <c r="D96" s="13" t="s">
        <v>211</v>
      </c>
      <c r="E96" s="13" t="s">
        <v>337</v>
      </c>
      <c r="F96" s="13"/>
      <c r="G96" s="13" t="s">
        <v>35</v>
      </c>
      <c r="H96" s="13" t="s">
        <v>23</v>
      </c>
      <c r="I96" s="13">
        <v>3</v>
      </c>
      <c r="J96" s="13">
        <v>5</v>
      </c>
      <c r="K96" s="13">
        <v>0</v>
      </c>
      <c r="L96" s="13">
        <v>2</v>
      </c>
      <c r="M96" s="13"/>
      <c r="N96" s="13"/>
      <c r="O96" s="13"/>
      <c r="P96" s="13"/>
      <c r="Q96" s="13"/>
      <c r="R96" s="13" t="s">
        <v>9</v>
      </c>
      <c r="S96" s="13" t="s">
        <v>9</v>
      </c>
    </row>
    <row r="97" spans="2:19">
      <c r="B97" s="13"/>
      <c r="C97" s="14">
        <v>250832</v>
      </c>
      <c r="D97" s="13" t="s">
        <v>211</v>
      </c>
      <c r="E97" s="13" t="s">
        <v>338</v>
      </c>
      <c r="F97" s="13"/>
      <c r="G97" s="13" t="s">
        <v>35</v>
      </c>
      <c r="H97" s="13" t="s">
        <v>23</v>
      </c>
      <c r="I97" s="13">
        <v>2</v>
      </c>
      <c r="J97" s="13">
        <v>3.27</v>
      </c>
      <c r="K97" s="13">
        <v>0</v>
      </c>
      <c r="L97" s="13">
        <v>2</v>
      </c>
      <c r="M97" s="13"/>
      <c r="N97" s="13"/>
      <c r="O97" s="13"/>
      <c r="P97" s="13"/>
      <c r="Q97" s="13"/>
      <c r="R97" s="13" t="s">
        <v>9</v>
      </c>
      <c r="S97" s="13" t="s">
        <v>9</v>
      </c>
    </row>
    <row r="98" spans="2:19">
      <c r="B98" s="13"/>
      <c r="C98" s="14">
        <v>250832</v>
      </c>
      <c r="D98" s="13" t="s">
        <v>211</v>
      </c>
      <c r="E98" s="13" t="s">
        <v>339</v>
      </c>
      <c r="F98" s="13"/>
      <c r="G98" s="13" t="s">
        <v>35</v>
      </c>
      <c r="H98" s="13" t="s">
        <v>23</v>
      </c>
      <c r="I98" s="13">
        <v>3</v>
      </c>
      <c r="J98" s="13">
        <v>4.25</v>
      </c>
      <c r="K98" s="13">
        <v>0</v>
      </c>
      <c r="L98" s="13">
        <v>2</v>
      </c>
      <c r="M98" s="13"/>
      <c r="N98" s="13"/>
      <c r="O98" s="13"/>
      <c r="P98" s="13"/>
      <c r="Q98" s="13"/>
      <c r="R98" s="13" t="s">
        <v>226</v>
      </c>
      <c r="S98" s="13" t="s">
        <v>9</v>
      </c>
    </row>
    <row r="99" spans="2:19">
      <c r="B99" s="13" t="s">
        <v>41</v>
      </c>
      <c r="C99" s="14">
        <v>228964</v>
      </c>
      <c r="D99" s="13" t="s">
        <v>33</v>
      </c>
      <c r="E99" s="13" t="s">
        <v>197</v>
      </c>
      <c r="F99" s="13">
        <v>8</v>
      </c>
      <c r="G99" s="13" t="s">
        <v>38</v>
      </c>
      <c r="H99" s="13"/>
      <c r="I99" s="13"/>
      <c r="J99" s="13"/>
      <c r="K99" s="13"/>
      <c r="L99" s="13">
        <v>1</v>
      </c>
      <c r="M99" s="13"/>
      <c r="N99" s="13"/>
      <c r="O99" s="13"/>
      <c r="P99" s="13"/>
      <c r="Q99" s="13" t="s">
        <v>41</v>
      </c>
      <c r="R99" s="13"/>
      <c r="S99" s="13"/>
    </row>
    <row r="100" spans="2:19">
      <c r="B100" s="13" t="s">
        <v>41</v>
      </c>
      <c r="C100" s="14">
        <v>228960</v>
      </c>
      <c r="D100" s="13" t="s">
        <v>33</v>
      </c>
      <c r="E100" s="13" t="s">
        <v>45</v>
      </c>
      <c r="F100" s="13">
        <v>5</v>
      </c>
      <c r="G100" s="13" t="s">
        <v>38</v>
      </c>
      <c r="H100" s="13"/>
      <c r="I100" s="13"/>
      <c r="J100" s="13"/>
      <c r="K100" s="13"/>
      <c r="L100" s="13">
        <v>1</v>
      </c>
      <c r="M100" s="13"/>
      <c r="N100" s="13"/>
      <c r="O100" s="13"/>
      <c r="P100" s="13"/>
      <c r="Q100" s="13" t="s">
        <v>41</v>
      </c>
      <c r="R100" s="13"/>
      <c r="S100" s="13"/>
    </row>
    <row r="101" spans="2:19">
      <c r="B101" s="13"/>
      <c r="C101" s="14">
        <v>242628</v>
      </c>
      <c r="D101" s="13" t="s">
        <v>232</v>
      </c>
      <c r="E101" s="13" t="s">
        <v>234</v>
      </c>
      <c r="F101" s="13"/>
      <c r="G101" s="13" t="s">
        <v>233</v>
      </c>
      <c r="H101" s="13" t="s">
        <v>14</v>
      </c>
      <c r="I101" s="13">
        <v>0</v>
      </c>
      <c r="J101" s="13">
        <v>0.5</v>
      </c>
      <c r="K101" s="13">
        <v>0</v>
      </c>
      <c r="L101" s="13">
        <v>3</v>
      </c>
      <c r="M101" s="13" t="s">
        <v>236</v>
      </c>
      <c r="N101" s="13"/>
      <c r="O101" s="13"/>
      <c r="P101" s="13"/>
      <c r="Q101" s="13"/>
      <c r="R101" s="13"/>
      <c r="S101" s="13" t="s">
        <v>13</v>
      </c>
    </row>
    <row r="102" spans="2:19">
      <c r="B102" s="13"/>
      <c r="C102" s="14">
        <v>242628</v>
      </c>
      <c r="D102" s="13" t="s">
        <v>232</v>
      </c>
      <c r="E102" s="13" t="s">
        <v>237</v>
      </c>
      <c r="F102" s="13"/>
      <c r="G102" s="13" t="s">
        <v>233</v>
      </c>
      <c r="H102" s="13" t="s">
        <v>14</v>
      </c>
      <c r="I102" s="13">
        <v>0</v>
      </c>
      <c r="J102" s="13">
        <v>0</v>
      </c>
      <c r="K102" s="13">
        <v>0</v>
      </c>
      <c r="L102" s="13">
        <v>3</v>
      </c>
      <c r="M102" s="13" t="s">
        <v>236</v>
      </c>
      <c r="N102" s="13"/>
      <c r="O102" s="13"/>
      <c r="P102" s="13"/>
      <c r="Q102" s="13"/>
      <c r="R102" s="13"/>
      <c r="S102" s="13" t="s">
        <v>13</v>
      </c>
    </row>
    <row r="103" spans="2:19">
      <c r="B103" s="13"/>
      <c r="C103" s="14">
        <v>242628</v>
      </c>
      <c r="D103" s="13" t="s">
        <v>232</v>
      </c>
      <c r="E103" s="13" t="s">
        <v>238</v>
      </c>
      <c r="F103" s="13"/>
      <c r="G103" s="13" t="s">
        <v>233</v>
      </c>
      <c r="H103" s="13" t="s">
        <v>14</v>
      </c>
      <c r="I103" s="13">
        <v>0</v>
      </c>
      <c r="J103" s="13">
        <v>0</v>
      </c>
      <c r="K103" s="13">
        <v>0</v>
      </c>
      <c r="L103" s="13">
        <v>3</v>
      </c>
      <c r="M103" s="13" t="s">
        <v>236</v>
      </c>
      <c r="N103" s="13"/>
      <c r="O103" s="13"/>
      <c r="P103" s="13"/>
      <c r="Q103" s="13"/>
      <c r="R103" s="13"/>
      <c r="S103" s="13" t="s">
        <v>13</v>
      </c>
    </row>
    <row r="104" spans="2:19">
      <c r="B104" s="13"/>
      <c r="C104" s="14">
        <v>242628</v>
      </c>
      <c r="D104" s="13" t="s">
        <v>232</v>
      </c>
      <c r="E104" s="13" t="s">
        <v>239</v>
      </c>
      <c r="F104" s="13"/>
      <c r="G104" s="13" t="s">
        <v>233</v>
      </c>
      <c r="H104" s="13" t="s">
        <v>14</v>
      </c>
      <c r="I104" s="13">
        <v>0</v>
      </c>
      <c r="J104" s="13">
        <v>0</v>
      </c>
      <c r="K104" s="13">
        <v>0</v>
      </c>
      <c r="L104" s="13">
        <v>3</v>
      </c>
      <c r="M104" s="13" t="s">
        <v>240</v>
      </c>
      <c r="N104" s="13"/>
      <c r="O104" s="13"/>
      <c r="P104" s="13"/>
      <c r="Q104" s="13"/>
      <c r="R104" s="13"/>
      <c r="S104" s="13" t="s">
        <v>13</v>
      </c>
    </row>
    <row r="105" spans="2:19">
      <c r="B105" s="13"/>
      <c r="C105" s="14">
        <v>242628</v>
      </c>
      <c r="D105" s="13" t="s">
        <v>211</v>
      </c>
      <c r="E105" s="13" t="s">
        <v>241</v>
      </c>
      <c r="F105" s="13"/>
      <c r="G105" s="13" t="s">
        <v>81</v>
      </c>
      <c r="H105" s="13" t="s">
        <v>12</v>
      </c>
      <c r="I105" s="13">
        <v>4</v>
      </c>
      <c r="J105" s="13">
        <v>4</v>
      </c>
      <c r="K105" s="13">
        <v>0</v>
      </c>
      <c r="L105" s="13">
        <v>2</v>
      </c>
      <c r="M105" s="13"/>
      <c r="N105" s="13"/>
      <c r="O105" s="13"/>
      <c r="P105" s="13"/>
      <c r="Q105" s="13" t="s">
        <v>340</v>
      </c>
      <c r="R105" s="13" t="s">
        <v>8</v>
      </c>
      <c r="S105" s="13" t="s">
        <v>13</v>
      </c>
    </row>
    <row r="106" spans="2:19">
      <c r="B106" s="13"/>
      <c r="C106" s="14">
        <v>242628</v>
      </c>
      <c r="D106" s="13" t="s">
        <v>211</v>
      </c>
      <c r="E106" s="13" t="s">
        <v>242</v>
      </c>
      <c r="F106" s="13"/>
      <c r="G106" s="13" t="s">
        <v>81</v>
      </c>
      <c r="H106" s="13" t="s">
        <v>10</v>
      </c>
      <c r="I106" s="13">
        <v>4</v>
      </c>
      <c r="J106" s="13">
        <v>4</v>
      </c>
      <c r="K106" s="13">
        <v>0</v>
      </c>
      <c r="L106" s="13">
        <v>2</v>
      </c>
      <c r="M106" s="13"/>
      <c r="N106" s="13"/>
      <c r="O106" s="13"/>
      <c r="P106" s="13"/>
      <c r="Q106" s="13" t="s">
        <v>83</v>
      </c>
      <c r="R106" s="13" t="s">
        <v>8</v>
      </c>
      <c r="S106" s="13" t="s">
        <v>13</v>
      </c>
    </row>
    <row r="107" spans="2:19">
      <c r="B107" s="13"/>
      <c r="C107" s="14">
        <v>242628</v>
      </c>
      <c r="D107" s="13" t="s">
        <v>211</v>
      </c>
      <c r="E107" s="13" t="s">
        <v>341</v>
      </c>
      <c r="F107" s="13"/>
      <c r="G107" s="13" t="s">
        <v>81</v>
      </c>
      <c r="H107" s="13" t="s">
        <v>14</v>
      </c>
      <c r="I107" s="13">
        <v>14</v>
      </c>
      <c r="J107" s="13">
        <v>15</v>
      </c>
      <c r="K107" s="13">
        <v>0</v>
      </c>
      <c r="L107" s="13">
        <v>2</v>
      </c>
      <c r="M107" s="13"/>
      <c r="N107" s="13"/>
      <c r="O107" s="13"/>
      <c r="P107" s="13"/>
      <c r="Q107" s="13"/>
      <c r="R107" s="13" t="s">
        <v>277</v>
      </c>
      <c r="S107" s="13" t="s">
        <v>15</v>
      </c>
    </row>
    <row r="108" spans="2:19">
      <c r="B108" s="13" t="s">
        <v>41</v>
      </c>
      <c r="C108" s="14">
        <v>228960</v>
      </c>
      <c r="D108" s="13" t="s">
        <v>33</v>
      </c>
      <c r="E108" s="13" t="s">
        <v>47</v>
      </c>
      <c r="F108" s="13">
        <v>3</v>
      </c>
      <c r="G108" s="13" t="s">
        <v>38</v>
      </c>
      <c r="H108" s="13"/>
      <c r="I108" s="13"/>
      <c r="J108" s="13"/>
      <c r="K108" s="13"/>
      <c r="L108" s="13">
        <v>1</v>
      </c>
      <c r="M108" s="13"/>
      <c r="N108" s="13"/>
      <c r="O108" s="13"/>
      <c r="P108" s="13"/>
      <c r="Q108" s="13" t="s">
        <v>41</v>
      </c>
      <c r="R108" s="13"/>
      <c r="S108" s="13"/>
    </row>
    <row r="109" spans="2:19">
      <c r="B109" s="13"/>
      <c r="C109" s="14">
        <v>247747</v>
      </c>
      <c r="D109" s="13" t="s">
        <v>211</v>
      </c>
      <c r="E109" s="13" t="s">
        <v>243</v>
      </c>
      <c r="F109" s="13"/>
      <c r="G109" s="13" t="s">
        <v>81</v>
      </c>
      <c r="H109" s="13" t="s">
        <v>23</v>
      </c>
      <c r="I109" s="13">
        <v>2</v>
      </c>
      <c r="J109" s="13">
        <v>1.5</v>
      </c>
      <c r="K109" s="13">
        <v>0</v>
      </c>
      <c r="L109" s="13">
        <v>2</v>
      </c>
      <c r="M109" s="13"/>
      <c r="N109" s="13"/>
      <c r="O109" s="13"/>
      <c r="P109" s="13"/>
      <c r="Q109" s="13" t="s">
        <v>83</v>
      </c>
      <c r="R109" s="13" t="s">
        <v>9</v>
      </c>
      <c r="S109" s="13" t="s">
        <v>9</v>
      </c>
    </row>
    <row r="110" spans="2:19">
      <c r="B110" s="13"/>
      <c r="C110" s="14">
        <v>247747</v>
      </c>
      <c r="D110" s="13" t="s">
        <v>232</v>
      </c>
      <c r="E110" s="13" t="s">
        <v>342</v>
      </c>
      <c r="F110" s="13"/>
      <c r="G110" s="13" t="s">
        <v>77</v>
      </c>
      <c r="H110" s="13" t="s">
        <v>21</v>
      </c>
      <c r="I110" s="13">
        <v>0</v>
      </c>
      <c r="J110" s="13">
        <v>0</v>
      </c>
      <c r="K110" s="13">
        <v>0.5</v>
      </c>
      <c r="L110" s="13">
        <v>2</v>
      </c>
      <c r="M110" s="13" t="s">
        <v>236</v>
      </c>
      <c r="N110" s="13"/>
      <c r="O110" s="13"/>
      <c r="P110" s="13"/>
      <c r="Q110" s="13"/>
      <c r="R110" s="13"/>
      <c r="S110" s="13" t="s">
        <v>13</v>
      </c>
    </row>
    <row r="111" spans="2:19">
      <c r="B111" s="13" t="s">
        <v>41</v>
      </c>
      <c r="C111" s="14">
        <v>228960</v>
      </c>
      <c r="D111" s="13" t="s">
        <v>33</v>
      </c>
      <c r="E111" s="13" t="s">
        <v>44</v>
      </c>
      <c r="F111" s="13">
        <v>3</v>
      </c>
      <c r="G111" s="13" t="s">
        <v>200</v>
      </c>
      <c r="H111" s="13"/>
      <c r="I111" s="13"/>
      <c r="J111" s="13"/>
      <c r="K111" s="13"/>
      <c r="L111" s="13">
        <v>1</v>
      </c>
      <c r="M111" s="13"/>
      <c r="N111" s="13"/>
      <c r="O111" s="13"/>
      <c r="P111" s="13"/>
      <c r="Q111" s="13" t="s">
        <v>41</v>
      </c>
      <c r="R111" s="13"/>
      <c r="S111" s="13"/>
    </row>
    <row r="112" spans="2:19">
      <c r="B112" s="13"/>
      <c r="C112" s="14">
        <v>247748</v>
      </c>
      <c r="D112" s="13" t="s">
        <v>211</v>
      </c>
      <c r="E112" s="13" t="s">
        <v>341</v>
      </c>
      <c r="F112" s="13"/>
      <c r="G112" s="13" t="s">
        <v>81</v>
      </c>
      <c r="H112" s="13" t="s">
        <v>14</v>
      </c>
      <c r="I112" s="13">
        <v>14</v>
      </c>
      <c r="J112" s="13">
        <v>15</v>
      </c>
      <c r="K112" s="13">
        <v>0</v>
      </c>
      <c r="L112" s="13">
        <v>2</v>
      </c>
      <c r="M112" s="13"/>
      <c r="N112" s="13"/>
      <c r="O112" s="13"/>
      <c r="P112" s="13"/>
      <c r="Q112" s="13"/>
      <c r="R112" s="13" t="s">
        <v>277</v>
      </c>
      <c r="S112" s="13" t="s">
        <v>15</v>
      </c>
    </row>
    <row r="113" spans="2:19">
      <c r="B113" s="13"/>
      <c r="C113" s="14">
        <v>247748</v>
      </c>
      <c r="D113" s="13" t="s">
        <v>232</v>
      </c>
      <c r="E113" s="13" t="s">
        <v>343</v>
      </c>
      <c r="F113" s="13"/>
      <c r="G113" s="13" t="s">
        <v>235</v>
      </c>
      <c r="H113" s="13" t="s">
        <v>14</v>
      </c>
      <c r="I113" s="13">
        <v>0</v>
      </c>
      <c r="J113" s="13">
        <v>2</v>
      </c>
      <c r="K113" s="13">
        <v>0</v>
      </c>
      <c r="L113" s="13">
        <v>2</v>
      </c>
      <c r="M113" s="13" t="s">
        <v>236</v>
      </c>
      <c r="N113" s="13"/>
      <c r="O113" s="13"/>
      <c r="P113" s="13"/>
      <c r="Q113" s="13"/>
      <c r="R113" s="13"/>
      <c r="S113" s="13" t="s">
        <v>8</v>
      </c>
    </row>
    <row r="114" spans="2:19">
      <c r="B114" s="13" t="s">
        <v>41</v>
      </c>
      <c r="C114" s="14">
        <v>228960</v>
      </c>
      <c r="D114" s="13" t="s">
        <v>33</v>
      </c>
      <c r="E114" s="13" t="s">
        <v>54</v>
      </c>
      <c r="F114" s="13">
        <v>5</v>
      </c>
      <c r="G114" s="13" t="s">
        <v>35</v>
      </c>
      <c r="H114" s="13"/>
      <c r="I114" s="13"/>
      <c r="J114" s="13"/>
      <c r="K114" s="13"/>
      <c r="L114" s="13">
        <v>2</v>
      </c>
      <c r="M114" s="13"/>
      <c r="N114" s="13"/>
      <c r="O114" s="13"/>
      <c r="P114" s="13"/>
      <c r="Q114" s="13" t="s">
        <v>41</v>
      </c>
      <c r="R114" s="13"/>
      <c r="S114" s="13"/>
    </row>
    <row r="115" spans="2:19">
      <c r="B115" s="13"/>
      <c r="C115" s="14">
        <v>244767</v>
      </c>
      <c r="D115" s="13" t="s">
        <v>211</v>
      </c>
      <c r="E115" s="13" t="s">
        <v>244</v>
      </c>
      <c r="F115" s="13"/>
      <c r="G115" s="13" t="s">
        <v>81</v>
      </c>
      <c r="H115" s="13" t="s">
        <v>10</v>
      </c>
      <c r="I115" s="13">
        <v>4</v>
      </c>
      <c r="J115" s="13">
        <v>4</v>
      </c>
      <c r="K115" s="13">
        <v>0</v>
      </c>
      <c r="L115" s="13">
        <v>2</v>
      </c>
      <c r="M115" s="13"/>
      <c r="N115" s="13"/>
      <c r="O115" s="13"/>
      <c r="P115" s="13"/>
      <c r="Q115" s="13"/>
      <c r="R115" s="13" t="s">
        <v>8</v>
      </c>
      <c r="S115" s="13" t="s">
        <v>13</v>
      </c>
    </row>
    <row r="116" spans="2:19">
      <c r="B116" s="13"/>
      <c r="C116" s="14">
        <v>244767</v>
      </c>
      <c r="D116" s="13" t="s">
        <v>211</v>
      </c>
      <c r="E116" s="13" t="s">
        <v>245</v>
      </c>
      <c r="F116" s="13"/>
      <c r="G116" s="13" t="s">
        <v>81</v>
      </c>
      <c r="H116" s="13" t="s">
        <v>10</v>
      </c>
      <c r="I116" s="13">
        <v>5</v>
      </c>
      <c r="J116" s="13">
        <v>5</v>
      </c>
      <c r="K116" s="13">
        <v>0</v>
      </c>
      <c r="L116" s="13">
        <v>2</v>
      </c>
      <c r="M116" s="13"/>
      <c r="N116" s="13"/>
      <c r="O116" s="13"/>
      <c r="P116" s="13"/>
      <c r="Q116" s="13"/>
      <c r="R116" s="13" t="s">
        <v>8</v>
      </c>
      <c r="S116" s="13" t="s">
        <v>13</v>
      </c>
    </row>
    <row r="117" spans="2:19">
      <c r="B117" s="13"/>
      <c r="C117" s="14">
        <v>244767</v>
      </c>
      <c r="D117" s="13" t="s">
        <v>211</v>
      </c>
      <c r="E117" s="13" t="s">
        <v>344</v>
      </c>
      <c r="F117" s="13"/>
      <c r="G117" s="13" t="s">
        <v>81</v>
      </c>
      <c r="H117" s="13" t="s">
        <v>10</v>
      </c>
      <c r="I117" s="13">
        <v>2</v>
      </c>
      <c r="J117" s="13">
        <v>3</v>
      </c>
      <c r="K117" s="13">
        <v>0</v>
      </c>
      <c r="L117" s="13">
        <v>2</v>
      </c>
      <c r="M117" s="13"/>
      <c r="N117" s="13"/>
      <c r="O117" s="13"/>
      <c r="P117" s="13"/>
      <c r="Q117" s="13"/>
      <c r="R117" s="13" t="s">
        <v>8</v>
      </c>
      <c r="S117" s="13" t="s">
        <v>13</v>
      </c>
    </row>
    <row r="118" spans="2:19">
      <c r="B118" s="13"/>
      <c r="C118" s="14">
        <v>244767</v>
      </c>
      <c r="D118" s="13" t="s">
        <v>211</v>
      </c>
      <c r="E118" s="13" t="s">
        <v>345</v>
      </c>
      <c r="F118" s="13"/>
      <c r="G118" s="13" t="s">
        <v>81</v>
      </c>
      <c r="H118" s="13" t="s">
        <v>10</v>
      </c>
      <c r="I118" s="13">
        <v>3</v>
      </c>
      <c r="J118" s="13">
        <v>3</v>
      </c>
      <c r="K118" s="13">
        <v>0</v>
      </c>
      <c r="L118" s="13">
        <v>2</v>
      </c>
      <c r="M118" s="13"/>
      <c r="N118" s="13"/>
      <c r="O118" s="13"/>
      <c r="P118" s="13"/>
      <c r="Q118" s="13"/>
      <c r="R118" s="13" t="s">
        <v>8</v>
      </c>
      <c r="S118" s="13" t="s">
        <v>13</v>
      </c>
    </row>
    <row r="119" spans="2:19">
      <c r="B119" s="13"/>
      <c r="C119" s="14">
        <v>244767</v>
      </c>
      <c r="D119" s="13" t="s">
        <v>211</v>
      </c>
      <c r="E119" s="13" t="s">
        <v>346</v>
      </c>
      <c r="F119" s="13"/>
      <c r="G119" s="13" t="s">
        <v>35</v>
      </c>
      <c r="H119" s="13" t="s">
        <v>10</v>
      </c>
      <c r="I119" s="13">
        <v>4</v>
      </c>
      <c r="J119" s="13">
        <v>3</v>
      </c>
      <c r="K119" s="13">
        <v>1</v>
      </c>
      <c r="L119" s="13">
        <v>2</v>
      </c>
      <c r="M119" s="13"/>
      <c r="N119" s="13"/>
      <c r="O119" s="13"/>
      <c r="P119" s="13"/>
      <c r="Q119" s="13"/>
      <c r="R119" s="13" t="s">
        <v>8</v>
      </c>
      <c r="S119" s="13" t="s">
        <v>13</v>
      </c>
    </row>
    <row r="120" spans="2:19">
      <c r="B120" s="13"/>
      <c r="C120" s="14">
        <v>244767</v>
      </c>
      <c r="D120" s="13" t="s">
        <v>211</v>
      </c>
      <c r="E120" s="13" t="s">
        <v>347</v>
      </c>
      <c r="F120" s="13"/>
      <c r="G120" s="13" t="s">
        <v>81</v>
      </c>
      <c r="H120" s="13" t="s">
        <v>10</v>
      </c>
      <c r="I120" s="13">
        <v>2</v>
      </c>
      <c r="J120" s="13">
        <v>5</v>
      </c>
      <c r="K120" s="13">
        <v>0</v>
      </c>
      <c r="L120" s="13">
        <v>2</v>
      </c>
      <c r="M120" s="13"/>
      <c r="N120" s="13"/>
      <c r="O120" s="13"/>
      <c r="P120" s="13"/>
      <c r="Q120" s="13"/>
      <c r="R120" s="13" t="s">
        <v>8</v>
      </c>
      <c r="S120" s="13" t="s">
        <v>13</v>
      </c>
    </row>
    <row r="121" spans="2:19">
      <c r="B121" s="13"/>
      <c r="C121" s="14">
        <v>244767</v>
      </c>
      <c r="D121" s="13" t="s">
        <v>211</v>
      </c>
      <c r="E121" s="13" t="s">
        <v>348</v>
      </c>
      <c r="F121" s="13"/>
      <c r="G121" s="13" t="s">
        <v>81</v>
      </c>
      <c r="H121" s="13" t="s">
        <v>10</v>
      </c>
      <c r="I121" s="13">
        <v>4</v>
      </c>
      <c r="J121" s="13">
        <v>4</v>
      </c>
      <c r="K121" s="13">
        <v>0</v>
      </c>
      <c r="L121" s="13">
        <v>2</v>
      </c>
      <c r="M121" s="13"/>
      <c r="N121" s="13"/>
      <c r="O121" s="13"/>
      <c r="P121" s="13"/>
      <c r="Q121" s="13" t="s">
        <v>83</v>
      </c>
      <c r="R121" s="13" t="s">
        <v>8</v>
      </c>
      <c r="S121" s="13" t="s">
        <v>13</v>
      </c>
    </row>
    <row r="122" spans="2:19">
      <c r="B122" s="13"/>
      <c r="C122" s="14">
        <v>244767</v>
      </c>
      <c r="D122" s="13" t="s">
        <v>211</v>
      </c>
      <c r="E122" s="13" t="s">
        <v>349</v>
      </c>
      <c r="F122" s="13"/>
      <c r="G122" s="13" t="s">
        <v>81</v>
      </c>
      <c r="H122" s="13" t="s">
        <v>10</v>
      </c>
      <c r="I122" s="13">
        <v>0</v>
      </c>
      <c r="J122" s="13">
        <v>20.5</v>
      </c>
      <c r="K122" s="13">
        <v>0</v>
      </c>
      <c r="L122" s="13">
        <v>2</v>
      </c>
      <c r="M122" s="13"/>
      <c r="N122" s="13"/>
      <c r="O122" s="13"/>
      <c r="P122" s="13"/>
      <c r="Q122" s="13"/>
      <c r="R122" s="13" t="s">
        <v>8</v>
      </c>
      <c r="S122" s="13" t="s">
        <v>13</v>
      </c>
    </row>
    <row r="123" spans="2:19">
      <c r="B123" s="13" t="s">
        <v>41</v>
      </c>
      <c r="C123" s="14">
        <v>228960</v>
      </c>
      <c r="D123" s="13" t="s">
        <v>33</v>
      </c>
      <c r="E123" s="13" t="s">
        <v>50</v>
      </c>
      <c r="F123" s="13">
        <v>3</v>
      </c>
      <c r="G123" s="13" t="s">
        <v>191</v>
      </c>
      <c r="H123" s="13"/>
      <c r="I123" s="13"/>
      <c r="J123" s="13"/>
      <c r="K123" s="13"/>
      <c r="L123" s="13">
        <v>1</v>
      </c>
      <c r="M123" s="13"/>
      <c r="N123" s="13"/>
      <c r="O123" s="13"/>
      <c r="P123" s="13"/>
      <c r="Q123" s="13" t="s">
        <v>41</v>
      </c>
      <c r="R123" s="13"/>
      <c r="S123" s="13"/>
    </row>
    <row r="124" spans="2:19">
      <c r="B124" s="13"/>
      <c r="C124" s="14">
        <v>244764</v>
      </c>
      <c r="D124" s="13" t="s">
        <v>232</v>
      </c>
      <c r="E124" s="13" t="s">
        <v>350</v>
      </c>
      <c r="F124" s="13"/>
      <c r="G124" s="13" t="s">
        <v>257</v>
      </c>
      <c r="H124" s="13" t="s">
        <v>10</v>
      </c>
      <c r="I124" s="13">
        <v>0</v>
      </c>
      <c r="J124" s="13">
        <v>0</v>
      </c>
      <c r="K124" s="13">
        <v>0</v>
      </c>
      <c r="L124" s="13">
        <v>3</v>
      </c>
      <c r="M124" s="13" t="s">
        <v>236</v>
      </c>
      <c r="N124" s="13"/>
      <c r="O124" s="13"/>
      <c r="P124" s="13"/>
      <c r="Q124" s="13"/>
      <c r="R124" s="13"/>
      <c r="S124" s="13" t="s">
        <v>13</v>
      </c>
    </row>
    <row r="125" spans="2:19">
      <c r="B125" s="13"/>
      <c r="C125" s="14">
        <v>244764</v>
      </c>
      <c r="D125" s="13" t="s">
        <v>211</v>
      </c>
      <c r="E125" s="13" t="s">
        <v>351</v>
      </c>
      <c r="F125" s="13"/>
      <c r="G125" s="13" t="s">
        <v>81</v>
      </c>
      <c r="H125" s="13" t="s">
        <v>10</v>
      </c>
      <c r="I125" s="13">
        <v>0.5</v>
      </c>
      <c r="J125" s="13">
        <v>0.5</v>
      </c>
      <c r="K125" s="13">
        <v>0</v>
      </c>
      <c r="L125" s="13">
        <v>2</v>
      </c>
      <c r="M125" s="13"/>
      <c r="N125" s="13"/>
      <c r="O125" s="13"/>
      <c r="P125" s="13"/>
      <c r="Q125" s="13"/>
      <c r="R125" s="13" t="s">
        <v>8</v>
      </c>
      <c r="S125" s="13" t="s">
        <v>13</v>
      </c>
    </row>
    <row r="126" spans="2:19">
      <c r="B126" s="13" t="s">
        <v>41</v>
      </c>
      <c r="C126" s="14">
        <v>228960</v>
      </c>
      <c r="D126" s="13" t="s">
        <v>33</v>
      </c>
      <c r="E126" s="13" t="s">
        <v>51</v>
      </c>
      <c r="F126" s="13">
        <v>5</v>
      </c>
      <c r="G126" s="13" t="s">
        <v>200</v>
      </c>
      <c r="H126" s="13"/>
      <c r="I126" s="13"/>
      <c r="J126" s="13"/>
      <c r="K126" s="13"/>
      <c r="L126" s="13">
        <v>2</v>
      </c>
      <c r="M126" s="13"/>
      <c r="N126" s="13"/>
      <c r="O126" s="13"/>
      <c r="P126" s="13"/>
      <c r="Q126" s="13" t="s">
        <v>41</v>
      </c>
      <c r="R126" s="13"/>
      <c r="S126" s="13"/>
    </row>
    <row r="127" spans="2:19">
      <c r="B127" s="13"/>
      <c r="C127" s="14">
        <v>244770</v>
      </c>
      <c r="D127" s="13" t="s">
        <v>232</v>
      </c>
      <c r="E127" s="13" t="s">
        <v>246</v>
      </c>
      <c r="F127" s="13"/>
      <c r="G127" s="13" t="s">
        <v>233</v>
      </c>
      <c r="H127" s="13" t="s">
        <v>14</v>
      </c>
      <c r="I127" s="13">
        <v>0</v>
      </c>
      <c r="J127" s="13">
        <v>2</v>
      </c>
      <c r="K127" s="13">
        <v>0</v>
      </c>
      <c r="L127" s="13">
        <v>3</v>
      </c>
      <c r="M127" s="13" t="s">
        <v>236</v>
      </c>
      <c r="N127" s="13"/>
      <c r="O127" s="13"/>
      <c r="P127" s="13"/>
      <c r="Q127" s="13"/>
      <c r="R127" s="13"/>
      <c r="S127" s="13" t="s">
        <v>8</v>
      </c>
    </row>
    <row r="128" spans="2:19">
      <c r="B128" s="13"/>
      <c r="C128" s="14">
        <v>244770</v>
      </c>
      <c r="D128" s="13" t="s">
        <v>211</v>
      </c>
      <c r="E128" s="13" t="s">
        <v>352</v>
      </c>
      <c r="F128" s="13"/>
      <c r="G128" s="13" t="s">
        <v>81</v>
      </c>
      <c r="H128" s="13" t="s">
        <v>20</v>
      </c>
      <c r="I128" s="13">
        <v>2</v>
      </c>
      <c r="J128" s="13">
        <v>2</v>
      </c>
      <c r="K128" s="13">
        <v>0</v>
      </c>
      <c r="L128" s="13">
        <v>2</v>
      </c>
      <c r="M128" s="13"/>
      <c r="N128" s="13"/>
      <c r="O128" s="13"/>
      <c r="P128" s="13"/>
      <c r="Q128" s="13" t="s">
        <v>93</v>
      </c>
      <c r="R128" s="13" t="s">
        <v>8</v>
      </c>
      <c r="S128" s="13" t="s">
        <v>8</v>
      </c>
    </row>
    <row r="129" spans="2:19">
      <c r="B129" s="13" t="s">
        <v>41</v>
      </c>
      <c r="C129" s="14">
        <v>228960</v>
      </c>
      <c r="D129" s="13" t="s">
        <v>33</v>
      </c>
      <c r="E129" s="13" t="s">
        <v>53</v>
      </c>
      <c r="F129" s="13">
        <v>5</v>
      </c>
      <c r="G129" s="13" t="s">
        <v>38</v>
      </c>
      <c r="H129" s="13"/>
      <c r="I129" s="13"/>
      <c r="J129" s="13"/>
      <c r="K129" s="13"/>
      <c r="L129" s="13">
        <v>2</v>
      </c>
      <c r="M129" s="13"/>
      <c r="N129" s="13"/>
      <c r="O129" s="13"/>
      <c r="P129" s="13"/>
      <c r="Q129" s="13" t="s">
        <v>41</v>
      </c>
      <c r="R129" s="13"/>
      <c r="S129" s="13"/>
    </row>
    <row r="130" spans="2:19">
      <c r="B130" s="13"/>
      <c r="C130" s="14">
        <v>242629</v>
      </c>
      <c r="D130" s="13" t="s">
        <v>211</v>
      </c>
      <c r="E130" s="13" t="s">
        <v>248</v>
      </c>
      <c r="F130" s="13"/>
      <c r="G130" s="13" t="s">
        <v>35</v>
      </c>
      <c r="H130" s="13" t="s">
        <v>23</v>
      </c>
      <c r="I130" s="13">
        <v>2</v>
      </c>
      <c r="J130" s="13">
        <v>2</v>
      </c>
      <c r="K130" s="13">
        <v>0</v>
      </c>
      <c r="L130" s="13">
        <v>2</v>
      </c>
      <c r="M130" s="13"/>
      <c r="N130" s="13"/>
      <c r="O130" s="13"/>
      <c r="P130" s="13"/>
      <c r="Q130" s="13"/>
      <c r="R130" s="13" t="s">
        <v>9</v>
      </c>
      <c r="S130" s="13" t="s">
        <v>9</v>
      </c>
    </row>
    <row r="131" spans="2:19">
      <c r="B131" s="13"/>
      <c r="C131" s="14">
        <v>242629</v>
      </c>
      <c r="D131" s="13" t="s">
        <v>211</v>
      </c>
      <c r="E131" s="13" t="s">
        <v>249</v>
      </c>
      <c r="F131" s="13"/>
      <c r="G131" s="13" t="s">
        <v>35</v>
      </c>
      <c r="H131" s="13" t="s">
        <v>23</v>
      </c>
      <c r="I131" s="13">
        <v>2</v>
      </c>
      <c r="J131" s="13">
        <v>2</v>
      </c>
      <c r="K131" s="13">
        <v>0</v>
      </c>
      <c r="L131" s="13">
        <v>2</v>
      </c>
      <c r="M131" s="13"/>
      <c r="N131" s="13"/>
      <c r="O131" s="13"/>
      <c r="P131" s="13"/>
      <c r="Q131" s="13"/>
      <c r="R131" s="13" t="s">
        <v>9</v>
      </c>
      <c r="S131" s="13" t="s">
        <v>9</v>
      </c>
    </row>
    <row r="132" spans="2:19">
      <c r="B132" s="13"/>
      <c r="C132" s="14">
        <v>242629</v>
      </c>
      <c r="D132" s="13" t="s">
        <v>211</v>
      </c>
      <c r="E132" s="13" t="s">
        <v>250</v>
      </c>
      <c r="F132" s="13"/>
      <c r="G132" s="13" t="s">
        <v>35</v>
      </c>
      <c r="H132" s="13" t="s">
        <v>23</v>
      </c>
      <c r="I132" s="13">
        <v>2</v>
      </c>
      <c r="J132" s="13">
        <v>0.25</v>
      </c>
      <c r="K132" s="13">
        <v>1.75</v>
      </c>
      <c r="L132" s="13">
        <v>2</v>
      </c>
      <c r="M132" s="13"/>
      <c r="N132" s="13"/>
      <c r="O132" s="13"/>
      <c r="P132" s="13"/>
      <c r="Q132" s="13"/>
      <c r="R132" s="13" t="s">
        <v>9</v>
      </c>
      <c r="S132" s="13" t="s">
        <v>9</v>
      </c>
    </row>
    <row r="133" spans="2:19">
      <c r="B133" s="13"/>
      <c r="C133" s="14">
        <v>242629</v>
      </c>
      <c r="D133" s="13" t="s">
        <v>211</v>
      </c>
      <c r="E133" s="13" t="s">
        <v>251</v>
      </c>
      <c r="F133" s="13"/>
      <c r="G133" s="13" t="s">
        <v>81</v>
      </c>
      <c r="H133" s="13" t="s">
        <v>23</v>
      </c>
      <c r="I133" s="13">
        <v>2</v>
      </c>
      <c r="J133" s="13">
        <v>1</v>
      </c>
      <c r="K133" s="13">
        <v>0</v>
      </c>
      <c r="L133" s="13">
        <v>2</v>
      </c>
      <c r="M133" s="13"/>
      <c r="N133" s="13"/>
      <c r="O133" s="13"/>
      <c r="P133" s="13"/>
      <c r="Q133" s="13"/>
      <c r="R133" s="13" t="s">
        <v>9</v>
      </c>
      <c r="S133" s="13" t="s">
        <v>9</v>
      </c>
    </row>
    <row r="134" spans="2:19">
      <c r="B134" s="13" t="s">
        <v>41</v>
      </c>
      <c r="C134" s="14">
        <v>228960</v>
      </c>
      <c r="D134" s="13" t="s">
        <v>33</v>
      </c>
      <c r="E134" s="13" t="s">
        <v>55</v>
      </c>
      <c r="F134" s="13">
        <v>5</v>
      </c>
      <c r="G134" s="13" t="s">
        <v>38</v>
      </c>
      <c r="H134" s="13"/>
      <c r="I134" s="13"/>
      <c r="J134" s="13"/>
      <c r="K134" s="13"/>
      <c r="L134" s="13">
        <v>2</v>
      </c>
      <c r="M134" s="13"/>
      <c r="N134" s="13"/>
      <c r="O134" s="13"/>
      <c r="P134" s="13"/>
      <c r="Q134" s="13" t="s">
        <v>41</v>
      </c>
      <c r="R134" s="13"/>
      <c r="S134" s="13"/>
    </row>
    <row r="135" spans="2:19">
      <c r="B135" s="13"/>
      <c r="C135" s="14">
        <v>244768</v>
      </c>
      <c r="D135" s="13" t="s">
        <v>211</v>
      </c>
      <c r="E135" s="13" t="s">
        <v>252</v>
      </c>
      <c r="F135" s="13"/>
      <c r="G135" s="13" t="s">
        <v>81</v>
      </c>
      <c r="H135" s="13" t="s">
        <v>23</v>
      </c>
      <c r="I135" s="13">
        <v>2</v>
      </c>
      <c r="J135" s="13">
        <v>1</v>
      </c>
      <c r="K135" s="13">
        <v>0</v>
      </c>
      <c r="L135" s="13">
        <v>2</v>
      </c>
      <c r="M135" s="13"/>
      <c r="N135" s="13"/>
      <c r="O135" s="13"/>
      <c r="P135" s="13"/>
      <c r="Q135" s="13"/>
      <c r="R135" s="13" t="s">
        <v>9</v>
      </c>
      <c r="S135" s="13" t="s">
        <v>9</v>
      </c>
    </row>
    <row r="136" spans="2:19">
      <c r="B136" s="13"/>
      <c r="C136" s="14">
        <v>244768</v>
      </c>
      <c r="D136" s="13" t="s">
        <v>211</v>
      </c>
      <c r="E136" s="13" t="s">
        <v>353</v>
      </c>
      <c r="F136" s="13"/>
      <c r="G136" s="13" t="s">
        <v>35</v>
      </c>
      <c r="H136" s="13" t="s">
        <v>10</v>
      </c>
      <c r="I136" s="13">
        <v>7</v>
      </c>
      <c r="J136" s="13">
        <v>6</v>
      </c>
      <c r="K136" s="13">
        <v>1</v>
      </c>
      <c r="L136" s="13">
        <v>2</v>
      </c>
      <c r="M136" s="13"/>
      <c r="N136" s="13"/>
      <c r="O136" s="13"/>
      <c r="P136" s="13"/>
      <c r="Q136" s="13"/>
      <c r="R136" s="13" t="s">
        <v>8</v>
      </c>
      <c r="S136" s="13" t="s">
        <v>13</v>
      </c>
    </row>
    <row r="137" spans="2:19">
      <c r="B137" s="13"/>
      <c r="C137" s="14">
        <v>244768</v>
      </c>
      <c r="D137" s="13" t="s">
        <v>211</v>
      </c>
      <c r="E137" s="13" t="s">
        <v>354</v>
      </c>
      <c r="F137" s="13"/>
      <c r="G137" s="13" t="s">
        <v>38</v>
      </c>
      <c r="H137" s="13" t="s">
        <v>10</v>
      </c>
      <c r="I137" s="13">
        <v>4</v>
      </c>
      <c r="J137" s="13">
        <v>5</v>
      </c>
      <c r="K137" s="13">
        <v>1</v>
      </c>
      <c r="L137" s="13">
        <v>2</v>
      </c>
      <c r="M137" s="13"/>
      <c r="N137" s="13"/>
      <c r="O137" s="13"/>
      <c r="P137" s="13"/>
      <c r="Q137" s="13"/>
      <c r="R137" s="13" t="s">
        <v>8</v>
      </c>
      <c r="S137" s="13" t="s">
        <v>13</v>
      </c>
    </row>
    <row r="138" spans="2:19">
      <c r="B138" s="13"/>
      <c r="C138" s="14">
        <v>244768</v>
      </c>
      <c r="D138" s="13" t="s">
        <v>211</v>
      </c>
      <c r="E138" s="13" t="s">
        <v>355</v>
      </c>
      <c r="F138" s="13"/>
      <c r="G138" s="13" t="s">
        <v>38</v>
      </c>
      <c r="H138" s="13" t="s">
        <v>10</v>
      </c>
      <c r="I138" s="13">
        <v>3</v>
      </c>
      <c r="J138" s="13">
        <v>0</v>
      </c>
      <c r="K138" s="13">
        <v>3</v>
      </c>
      <c r="L138" s="13">
        <v>2</v>
      </c>
      <c r="M138" s="13"/>
      <c r="N138" s="13"/>
      <c r="O138" s="13"/>
      <c r="P138" s="13"/>
      <c r="Q138" s="13"/>
      <c r="R138" s="13" t="s">
        <v>8</v>
      </c>
      <c r="S138" s="13" t="s">
        <v>13</v>
      </c>
    </row>
    <row r="139" spans="2:19">
      <c r="B139" s="13"/>
      <c r="C139" s="14">
        <v>244768</v>
      </c>
      <c r="D139" s="13" t="s">
        <v>211</v>
      </c>
      <c r="E139" s="13" t="s">
        <v>356</v>
      </c>
      <c r="F139" s="13"/>
      <c r="G139" s="13" t="s">
        <v>35</v>
      </c>
      <c r="H139" s="13" t="s">
        <v>10</v>
      </c>
      <c r="I139" s="13">
        <v>2</v>
      </c>
      <c r="J139" s="13">
        <v>1</v>
      </c>
      <c r="K139" s="13">
        <v>1</v>
      </c>
      <c r="L139" s="13">
        <v>2</v>
      </c>
      <c r="M139" s="13"/>
      <c r="N139" s="13"/>
      <c r="O139" s="13"/>
      <c r="P139" s="13"/>
      <c r="Q139" s="13"/>
      <c r="R139" s="13" t="s">
        <v>8</v>
      </c>
      <c r="S139" s="13" t="s">
        <v>13</v>
      </c>
    </row>
    <row r="140" spans="2:19">
      <c r="B140" s="13"/>
      <c r="C140" s="14">
        <v>244768</v>
      </c>
      <c r="D140" s="13" t="s">
        <v>211</v>
      </c>
      <c r="E140" s="13" t="s">
        <v>357</v>
      </c>
      <c r="F140" s="13"/>
      <c r="G140" s="13" t="s">
        <v>38</v>
      </c>
      <c r="H140" s="13" t="s">
        <v>10</v>
      </c>
      <c r="I140" s="13">
        <v>3</v>
      </c>
      <c r="J140" s="13">
        <v>2</v>
      </c>
      <c r="K140" s="13">
        <v>1</v>
      </c>
      <c r="L140" s="13">
        <v>2</v>
      </c>
      <c r="M140" s="13"/>
      <c r="N140" s="13"/>
      <c r="O140" s="13"/>
      <c r="P140" s="13"/>
      <c r="Q140" s="13"/>
      <c r="R140" s="13" t="s">
        <v>8</v>
      </c>
      <c r="S140" s="13" t="s">
        <v>13</v>
      </c>
    </row>
    <row r="141" spans="2:19">
      <c r="B141" s="13"/>
      <c r="C141" s="14">
        <v>244768</v>
      </c>
      <c r="D141" s="13" t="s">
        <v>211</v>
      </c>
      <c r="E141" s="13" t="s">
        <v>358</v>
      </c>
      <c r="F141" s="13"/>
      <c r="G141" s="13" t="s">
        <v>38</v>
      </c>
      <c r="H141" s="13" t="s">
        <v>10</v>
      </c>
      <c r="I141" s="13">
        <v>4</v>
      </c>
      <c r="J141" s="13">
        <v>3</v>
      </c>
      <c r="K141" s="13">
        <v>1</v>
      </c>
      <c r="L141" s="13">
        <v>2</v>
      </c>
      <c r="M141" s="13"/>
      <c r="N141" s="13"/>
      <c r="O141" s="13"/>
      <c r="P141" s="13"/>
      <c r="Q141" s="13"/>
      <c r="R141" s="13" t="s">
        <v>8</v>
      </c>
      <c r="S141" s="13" t="s">
        <v>13</v>
      </c>
    </row>
    <row r="142" spans="2:19">
      <c r="B142" s="13"/>
      <c r="C142" s="14">
        <v>244768</v>
      </c>
      <c r="D142" s="13" t="s">
        <v>211</v>
      </c>
      <c r="E142" s="13" t="s">
        <v>359</v>
      </c>
      <c r="F142" s="13"/>
      <c r="G142" s="13" t="s">
        <v>81</v>
      </c>
      <c r="H142" s="13" t="s">
        <v>10</v>
      </c>
      <c r="I142" s="13">
        <v>2</v>
      </c>
      <c r="J142" s="13">
        <v>2</v>
      </c>
      <c r="K142" s="13">
        <v>0</v>
      </c>
      <c r="L142" s="13">
        <v>2</v>
      </c>
      <c r="M142" s="13"/>
      <c r="N142" s="13"/>
      <c r="O142" s="13"/>
      <c r="P142" s="13"/>
      <c r="Q142" s="13"/>
      <c r="R142" s="13" t="s">
        <v>8</v>
      </c>
      <c r="S142" s="13" t="s">
        <v>13</v>
      </c>
    </row>
    <row r="143" spans="2:19">
      <c r="B143" s="13"/>
      <c r="C143" s="14">
        <v>244768</v>
      </c>
      <c r="D143" s="13" t="s">
        <v>211</v>
      </c>
      <c r="E143" s="13" t="s">
        <v>360</v>
      </c>
      <c r="F143" s="13"/>
      <c r="G143" s="13" t="s">
        <v>81</v>
      </c>
      <c r="H143" s="13" t="s">
        <v>10</v>
      </c>
      <c r="I143" s="13">
        <v>3</v>
      </c>
      <c r="J143" s="13">
        <v>3</v>
      </c>
      <c r="K143" s="13">
        <v>0</v>
      </c>
      <c r="L143" s="13">
        <v>2</v>
      </c>
      <c r="M143" s="13"/>
      <c r="N143" s="13"/>
      <c r="O143" s="13"/>
      <c r="P143" s="13"/>
      <c r="Q143" s="13" t="s">
        <v>83</v>
      </c>
      <c r="R143" s="13" t="s">
        <v>8</v>
      </c>
      <c r="S143" s="13" t="s">
        <v>13</v>
      </c>
    </row>
    <row r="144" spans="2:19">
      <c r="B144" s="13" t="s">
        <v>41</v>
      </c>
      <c r="C144" s="14">
        <v>228960</v>
      </c>
      <c r="D144" s="13" t="s">
        <v>33</v>
      </c>
      <c r="E144" s="13" t="s">
        <v>56</v>
      </c>
      <c r="F144" s="13">
        <v>5</v>
      </c>
      <c r="G144" s="13" t="s">
        <v>200</v>
      </c>
      <c r="H144" s="13"/>
      <c r="I144" s="13"/>
      <c r="J144" s="13"/>
      <c r="K144" s="13"/>
      <c r="L144" s="13">
        <v>2</v>
      </c>
      <c r="M144" s="13"/>
      <c r="N144" s="13"/>
      <c r="O144" s="13"/>
      <c r="P144" s="13"/>
      <c r="Q144" s="13" t="s">
        <v>41</v>
      </c>
      <c r="R144" s="13"/>
      <c r="S144" s="13"/>
    </row>
    <row r="145" spans="2:19">
      <c r="B145" s="13"/>
      <c r="C145" s="14">
        <v>244772</v>
      </c>
      <c r="D145" s="13" t="s">
        <v>211</v>
      </c>
      <c r="E145" s="13" t="s">
        <v>253</v>
      </c>
      <c r="F145" s="13"/>
      <c r="G145" s="13" t="s">
        <v>81</v>
      </c>
      <c r="H145" s="13" t="s">
        <v>21</v>
      </c>
      <c r="I145" s="13">
        <v>2</v>
      </c>
      <c r="J145" s="13">
        <v>2</v>
      </c>
      <c r="K145" s="13">
        <v>0</v>
      </c>
      <c r="L145" s="13">
        <v>2</v>
      </c>
      <c r="M145" s="13"/>
      <c r="N145" s="13"/>
      <c r="O145" s="13"/>
      <c r="P145" s="13"/>
      <c r="Q145" s="13"/>
      <c r="R145" s="13" t="s">
        <v>8</v>
      </c>
      <c r="S145" s="13" t="s">
        <v>13</v>
      </c>
    </row>
    <row r="146" spans="2:19">
      <c r="B146" s="13"/>
      <c r="C146" s="14">
        <v>244772</v>
      </c>
      <c r="D146" s="13" t="s">
        <v>211</v>
      </c>
      <c r="E146" s="13" t="s">
        <v>254</v>
      </c>
      <c r="F146" s="13"/>
      <c r="G146" s="13" t="s">
        <v>81</v>
      </c>
      <c r="H146" s="13" t="s">
        <v>21</v>
      </c>
      <c r="I146" s="13">
        <v>2</v>
      </c>
      <c r="J146" s="13">
        <v>2</v>
      </c>
      <c r="K146" s="13">
        <v>0</v>
      </c>
      <c r="L146" s="13">
        <v>2</v>
      </c>
      <c r="M146" s="13"/>
      <c r="N146" s="13"/>
      <c r="O146" s="13"/>
      <c r="P146" s="13"/>
      <c r="Q146" s="13"/>
      <c r="R146" s="13" t="s">
        <v>8</v>
      </c>
      <c r="S146" s="13" t="s">
        <v>13</v>
      </c>
    </row>
    <row r="147" spans="2:19">
      <c r="B147" s="13" t="s">
        <v>41</v>
      </c>
      <c r="C147" s="14">
        <v>228961</v>
      </c>
      <c r="D147" s="13" t="s">
        <v>33</v>
      </c>
      <c r="E147" s="13" t="s">
        <v>308</v>
      </c>
      <c r="F147" s="13">
        <v>3</v>
      </c>
      <c r="G147" s="13" t="s">
        <v>200</v>
      </c>
      <c r="H147" s="13"/>
      <c r="I147" s="13"/>
      <c r="J147" s="13"/>
      <c r="K147" s="13"/>
      <c r="L147" s="13">
        <v>3</v>
      </c>
      <c r="M147" s="13"/>
      <c r="N147" s="13"/>
      <c r="O147" s="13"/>
      <c r="P147" s="13"/>
      <c r="Q147" s="13" t="s">
        <v>41</v>
      </c>
      <c r="R147" s="13"/>
      <c r="S147" s="13"/>
    </row>
    <row r="148" spans="2:19">
      <c r="B148" s="13"/>
      <c r="C148" s="14">
        <v>244756</v>
      </c>
      <c r="D148" s="13" t="s">
        <v>211</v>
      </c>
      <c r="E148" s="13" t="s">
        <v>361</v>
      </c>
      <c r="F148" s="13"/>
      <c r="G148" s="13" t="s">
        <v>81</v>
      </c>
      <c r="H148" s="13" t="s">
        <v>21</v>
      </c>
      <c r="I148" s="13">
        <v>4</v>
      </c>
      <c r="J148" s="13">
        <v>4</v>
      </c>
      <c r="K148" s="13">
        <v>0</v>
      </c>
      <c r="L148" s="13">
        <v>2</v>
      </c>
      <c r="M148" s="13"/>
      <c r="N148" s="13"/>
      <c r="O148" s="13"/>
      <c r="P148" s="13"/>
      <c r="Q148" s="13"/>
      <c r="R148" s="13" t="s">
        <v>8</v>
      </c>
      <c r="S148" s="13" t="s">
        <v>13</v>
      </c>
    </row>
    <row r="149" spans="2:19">
      <c r="B149" s="13"/>
      <c r="C149" s="14">
        <v>244756</v>
      </c>
      <c r="D149" s="13" t="s">
        <v>211</v>
      </c>
      <c r="E149" s="13" t="s">
        <v>362</v>
      </c>
      <c r="F149" s="13"/>
      <c r="G149" s="13" t="s">
        <v>81</v>
      </c>
      <c r="H149" s="13" t="s">
        <v>21</v>
      </c>
      <c r="I149" s="13">
        <v>4</v>
      </c>
      <c r="J149" s="13">
        <v>4</v>
      </c>
      <c r="K149" s="13">
        <v>0</v>
      </c>
      <c r="L149" s="13">
        <v>2</v>
      </c>
      <c r="M149" s="13"/>
      <c r="N149" s="13"/>
      <c r="O149" s="13"/>
      <c r="P149" s="13"/>
      <c r="Q149" s="13"/>
      <c r="R149" s="13" t="s">
        <v>8</v>
      </c>
      <c r="S149" s="13" t="s">
        <v>13</v>
      </c>
    </row>
    <row r="150" spans="2:19">
      <c r="B150" s="13"/>
      <c r="C150" s="14">
        <v>244756</v>
      </c>
      <c r="D150" s="13" t="s">
        <v>211</v>
      </c>
      <c r="E150" s="13" t="s">
        <v>363</v>
      </c>
      <c r="F150" s="13"/>
      <c r="G150" s="13" t="s">
        <v>81</v>
      </c>
      <c r="H150" s="13" t="s">
        <v>21</v>
      </c>
      <c r="I150" s="13">
        <v>4</v>
      </c>
      <c r="J150" s="13">
        <v>4</v>
      </c>
      <c r="K150" s="13">
        <v>0</v>
      </c>
      <c r="L150" s="13">
        <v>2</v>
      </c>
      <c r="M150" s="13"/>
      <c r="N150" s="13"/>
      <c r="O150" s="13"/>
      <c r="P150" s="13"/>
      <c r="Q150" s="13"/>
      <c r="R150" s="13" t="s">
        <v>8</v>
      </c>
      <c r="S150" s="13" t="s">
        <v>13</v>
      </c>
    </row>
    <row r="151" spans="2:19">
      <c r="B151" s="13" t="s">
        <v>41</v>
      </c>
      <c r="C151" s="14">
        <v>228960</v>
      </c>
      <c r="D151" s="13" t="s">
        <v>33</v>
      </c>
      <c r="E151" s="13" t="s">
        <v>58</v>
      </c>
      <c r="F151" s="13">
        <v>5</v>
      </c>
      <c r="G151" s="13" t="s">
        <v>35</v>
      </c>
      <c r="H151" s="13"/>
      <c r="I151" s="13"/>
      <c r="J151" s="13"/>
      <c r="K151" s="13"/>
      <c r="L151" s="13">
        <v>2</v>
      </c>
      <c r="M151" s="13"/>
      <c r="N151" s="13"/>
      <c r="O151" s="13"/>
      <c r="P151" s="13"/>
      <c r="Q151" s="13" t="s">
        <v>41</v>
      </c>
      <c r="R151" s="13"/>
      <c r="S151" s="13"/>
    </row>
    <row r="152" spans="2:19">
      <c r="B152" s="13"/>
      <c r="C152" s="14">
        <v>244761</v>
      </c>
      <c r="D152" s="13" t="s">
        <v>211</v>
      </c>
      <c r="E152" s="13" t="s">
        <v>255</v>
      </c>
      <c r="F152" s="13"/>
      <c r="G152" s="13" t="s">
        <v>81</v>
      </c>
      <c r="H152" s="13" t="s">
        <v>21</v>
      </c>
      <c r="I152" s="13">
        <v>7</v>
      </c>
      <c r="J152" s="13">
        <v>7</v>
      </c>
      <c r="K152" s="13">
        <v>0</v>
      </c>
      <c r="L152" s="13">
        <v>2</v>
      </c>
      <c r="M152" s="13"/>
      <c r="N152" s="13"/>
      <c r="O152" s="13"/>
      <c r="P152" s="13"/>
      <c r="Q152" s="13" t="s">
        <v>41</v>
      </c>
      <c r="R152" s="13" t="s">
        <v>8</v>
      </c>
      <c r="S152" s="13" t="s">
        <v>13</v>
      </c>
    </row>
    <row r="153" spans="2:19">
      <c r="B153" s="13"/>
      <c r="C153" s="14">
        <v>244761</v>
      </c>
      <c r="D153" s="13" t="s">
        <v>211</v>
      </c>
      <c r="E153" s="13" t="s">
        <v>364</v>
      </c>
      <c r="F153" s="13"/>
      <c r="G153" s="13" t="s">
        <v>35</v>
      </c>
      <c r="H153" s="13" t="s">
        <v>21</v>
      </c>
      <c r="I153" s="13">
        <v>6</v>
      </c>
      <c r="J153" s="13">
        <v>0</v>
      </c>
      <c r="K153" s="13">
        <v>6</v>
      </c>
      <c r="L153" s="13">
        <v>2</v>
      </c>
      <c r="M153" s="13"/>
      <c r="N153" s="13"/>
      <c r="O153" s="13"/>
      <c r="P153" s="13"/>
      <c r="Q153" s="13" t="s">
        <v>41</v>
      </c>
      <c r="R153" s="13" t="s">
        <v>8</v>
      </c>
      <c r="S153" s="13" t="s">
        <v>13</v>
      </c>
    </row>
    <row r="154" spans="2:19">
      <c r="B154" s="13"/>
      <c r="C154" s="14">
        <v>244761</v>
      </c>
      <c r="D154" s="13" t="s">
        <v>211</v>
      </c>
      <c r="E154" s="13" t="s">
        <v>365</v>
      </c>
      <c r="F154" s="13"/>
      <c r="G154" s="13" t="s">
        <v>81</v>
      </c>
      <c r="H154" s="13" t="s">
        <v>21</v>
      </c>
      <c r="I154" s="13">
        <v>3</v>
      </c>
      <c r="J154" s="13">
        <v>3</v>
      </c>
      <c r="K154" s="13">
        <v>0</v>
      </c>
      <c r="L154" s="13">
        <v>2</v>
      </c>
      <c r="M154" s="13"/>
      <c r="N154" s="13"/>
      <c r="O154" s="13"/>
      <c r="P154" s="13"/>
      <c r="Q154" s="13"/>
      <c r="R154" s="13" t="s">
        <v>8</v>
      </c>
      <c r="S154" s="13" t="s">
        <v>13</v>
      </c>
    </row>
    <row r="155" spans="2:19">
      <c r="B155" s="13"/>
      <c r="C155" s="14">
        <v>244761</v>
      </c>
      <c r="D155" s="13" t="s">
        <v>211</v>
      </c>
      <c r="E155" s="13" t="s">
        <v>256</v>
      </c>
      <c r="F155" s="13"/>
      <c r="G155" s="13" t="s">
        <v>81</v>
      </c>
      <c r="H155" s="13" t="s">
        <v>20</v>
      </c>
      <c r="I155" s="13">
        <v>8</v>
      </c>
      <c r="J155" s="13">
        <v>8</v>
      </c>
      <c r="K155" s="13">
        <v>0</v>
      </c>
      <c r="L155" s="13">
        <v>2</v>
      </c>
      <c r="M155" s="13"/>
      <c r="N155" s="13"/>
      <c r="O155" s="13"/>
      <c r="P155" s="13"/>
      <c r="Q155" s="13" t="s">
        <v>41</v>
      </c>
      <c r="R155" s="13" t="s">
        <v>8</v>
      </c>
      <c r="S155" s="13" t="s">
        <v>8</v>
      </c>
    </row>
    <row r="156" spans="2:19">
      <c r="B156" s="13"/>
      <c r="C156" s="14">
        <v>244761</v>
      </c>
      <c r="D156" s="13" t="s">
        <v>211</v>
      </c>
      <c r="E156" s="13" t="s">
        <v>366</v>
      </c>
      <c r="F156" s="13"/>
      <c r="G156" s="13" t="s">
        <v>81</v>
      </c>
      <c r="H156" s="13" t="s">
        <v>20</v>
      </c>
      <c r="I156" s="13">
        <v>6</v>
      </c>
      <c r="J156" s="13">
        <v>6</v>
      </c>
      <c r="K156" s="13">
        <v>0</v>
      </c>
      <c r="L156" s="13">
        <v>2</v>
      </c>
      <c r="M156" s="13"/>
      <c r="N156" s="13"/>
      <c r="O156" s="13"/>
      <c r="P156" s="13"/>
      <c r="Q156" s="13"/>
      <c r="R156" s="13" t="s">
        <v>8</v>
      </c>
      <c r="S156" s="13" t="s">
        <v>8</v>
      </c>
    </row>
    <row r="157" spans="2:19">
      <c r="B157" s="13"/>
      <c r="C157" s="14">
        <v>244761</v>
      </c>
      <c r="D157" s="13" t="s">
        <v>211</v>
      </c>
      <c r="E157" s="13" t="s">
        <v>367</v>
      </c>
      <c r="F157" s="13"/>
      <c r="G157" s="13" t="s">
        <v>81</v>
      </c>
      <c r="H157" s="13" t="s">
        <v>20</v>
      </c>
      <c r="I157" s="13">
        <v>10</v>
      </c>
      <c r="J157" s="13">
        <v>10</v>
      </c>
      <c r="K157" s="13">
        <v>0</v>
      </c>
      <c r="L157" s="13">
        <v>2</v>
      </c>
      <c r="M157" s="13"/>
      <c r="N157" s="13"/>
      <c r="O157" s="13"/>
      <c r="P157" s="13"/>
      <c r="Q157" s="13" t="s">
        <v>83</v>
      </c>
      <c r="R157" s="13" t="s">
        <v>8</v>
      </c>
      <c r="S157" s="13" t="s">
        <v>8</v>
      </c>
    </row>
    <row r="158" spans="2:19">
      <c r="B158" s="13" t="s">
        <v>41</v>
      </c>
      <c r="C158" s="14">
        <v>228961</v>
      </c>
      <c r="D158" s="13" t="s">
        <v>33</v>
      </c>
      <c r="E158" s="13" t="s">
        <v>309</v>
      </c>
      <c r="F158" s="13">
        <v>3</v>
      </c>
      <c r="G158" s="13" t="s">
        <v>38</v>
      </c>
      <c r="H158" s="13"/>
      <c r="I158" s="13"/>
      <c r="J158" s="13"/>
      <c r="K158" s="13"/>
      <c r="L158" s="13">
        <v>3</v>
      </c>
      <c r="M158" s="13"/>
      <c r="N158" s="13"/>
      <c r="O158" s="13"/>
      <c r="P158" s="13"/>
      <c r="Q158" s="13" t="s">
        <v>41</v>
      </c>
      <c r="R158" s="13"/>
      <c r="S158" s="13"/>
    </row>
    <row r="159" spans="2:19">
      <c r="B159" s="13"/>
      <c r="C159" s="14">
        <v>244757</v>
      </c>
      <c r="D159" s="13" t="s">
        <v>211</v>
      </c>
      <c r="E159" s="13" t="s">
        <v>368</v>
      </c>
      <c r="F159" s="13"/>
      <c r="G159" s="13" t="s">
        <v>35</v>
      </c>
      <c r="H159" s="13" t="s">
        <v>21</v>
      </c>
      <c r="I159" s="13">
        <v>5</v>
      </c>
      <c r="J159" s="13">
        <v>5</v>
      </c>
      <c r="K159" s="13">
        <v>0</v>
      </c>
      <c r="L159" s="13">
        <v>2</v>
      </c>
      <c r="M159" s="13"/>
      <c r="N159" s="13"/>
      <c r="O159" s="13"/>
      <c r="P159" s="13"/>
      <c r="Q159" s="13"/>
      <c r="R159" s="13" t="s">
        <v>8</v>
      </c>
      <c r="S159" s="13" t="s">
        <v>13</v>
      </c>
    </row>
    <row r="160" spans="2:19">
      <c r="B160" s="13"/>
      <c r="C160" s="14">
        <v>244757</v>
      </c>
      <c r="D160" s="13" t="s">
        <v>211</v>
      </c>
      <c r="E160" s="13" t="s">
        <v>369</v>
      </c>
      <c r="F160" s="13"/>
      <c r="G160" s="13" t="s">
        <v>77</v>
      </c>
      <c r="H160" s="13" t="s">
        <v>21</v>
      </c>
      <c r="I160" s="13">
        <v>2</v>
      </c>
      <c r="J160" s="13">
        <v>0</v>
      </c>
      <c r="K160" s="13">
        <v>2</v>
      </c>
      <c r="L160" s="13">
        <v>2</v>
      </c>
      <c r="M160" s="13"/>
      <c r="N160" s="13"/>
      <c r="O160" s="13"/>
      <c r="P160" s="13"/>
      <c r="Q160" s="13"/>
      <c r="R160" s="13" t="s">
        <v>8</v>
      </c>
      <c r="S160" s="13" t="s">
        <v>13</v>
      </c>
    </row>
    <row r="161" spans="2:19">
      <c r="B161" s="13" t="s">
        <v>41</v>
      </c>
      <c r="C161" s="14">
        <v>228961</v>
      </c>
      <c r="D161" s="13" t="s">
        <v>33</v>
      </c>
      <c r="E161" s="13" t="s">
        <v>310</v>
      </c>
      <c r="F161" s="13">
        <v>3</v>
      </c>
      <c r="G161" s="13" t="s">
        <v>77</v>
      </c>
      <c r="H161" s="13"/>
      <c r="I161" s="13"/>
      <c r="J161" s="13"/>
      <c r="K161" s="13"/>
      <c r="L161" s="13">
        <v>3</v>
      </c>
      <c r="M161" s="13"/>
      <c r="N161" s="13"/>
      <c r="O161" s="13"/>
      <c r="P161" s="13"/>
      <c r="Q161" s="13" t="s">
        <v>41</v>
      </c>
      <c r="R161" s="13"/>
      <c r="S161" s="13"/>
    </row>
    <row r="162" spans="2:19">
      <c r="B162" s="13"/>
      <c r="C162" s="14">
        <v>244758</v>
      </c>
      <c r="D162" s="13" t="s">
        <v>211</v>
      </c>
      <c r="E162" s="13" t="s">
        <v>370</v>
      </c>
      <c r="F162" s="13"/>
      <c r="G162" s="13" t="s">
        <v>77</v>
      </c>
      <c r="H162" s="13" t="s">
        <v>21</v>
      </c>
      <c r="I162" s="13">
        <v>4</v>
      </c>
      <c r="J162" s="13">
        <v>0</v>
      </c>
      <c r="K162" s="13">
        <v>4</v>
      </c>
      <c r="L162" s="13">
        <v>2</v>
      </c>
      <c r="M162" s="13"/>
      <c r="N162" s="13"/>
      <c r="O162" s="13"/>
      <c r="P162" s="13"/>
      <c r="Q162" s="13"/>
      <c r="R162" s="13" t="s">
        <v>8</v>
      </c>
      <c r="S162" s="13" t="s">
        <v>13</v>
      </c>
    </row>
    <row r="163" spans="2:19">
      <c r="B163" s="13"/>
      <c r="C163" s="14">
        <v>244758</v>
      </c>
      <c r="D163" s="13" t="s">
        <v>211</v>
      </c>
      <c r="E163" s="13" t="s">
        <v>371</v>
      </c>
      <c r="F163" s="13"/>
      <c r="G163" s="13" t="s">
        <v>77</v>
      </c>
      <c r="H163" s="13" t="s">
        <v>21</v>
      </c>
      <c r="I163" s="13">
        <v>2</v>
      </c>
      <c r="J163" s="13">
        <v>0</v>
      </c>
      <c r="K163" s="13">
        <v>2</v>
      </c>
      <c r="L163" s="13">
        <v>2</v>
      </c>
      <c r="M163" s="13"/>
      <c r="N163" s="13"/>
      <c r="O163" s="13"/>
      <c r="P163" s="13"/>
      <c r="Q163" s="13"/>
      <c r="R163" s="13" t="s">
        <v>8</v>
      </c>
      <c r="S163" s="13" t="s">
        <v>13</v>
      </c>
    </row>
    <row r="164" spans="2:19">
      <c r="B164" s="13"/>
      <c r="C164" s="14">
        <v>244758</v>
      </c>
      <c r="D164" s="13" t="s">
        <v>211</v>
      </c>
      <c r="E164" s="13" t="s">
        <v>372</v>
      </c>
      <c r="F164" s="13"/>
      <c r="G164" s="13" t="s">
        <v>77</v>
      </c>
      <c r="H164" s="13" t="s">
        <v>21</v>
      </c>
      <c r="I164" s="13">
        <v>4</v>
      </c>
      <c r="J164" s="13">
        <v>0</v>
      </c>
      <c r="K164" s="13">
        <v>4</v>
      </c>
      <c r="L164" s="13">
        <v>2</v>
      </c>
      <c r="M164" s="13"/>
      <c r="N164" s="13"/>
      <c r="O164" s="13"/>
      <c r="P164" s="13"/>
      <c r="Q164" s="13"/>
      <c r="R164" s="13" t="s">
        <v>8</v>
      </c>
      <c r="S164" s="13" t="s">
        <v>13</v>
      </c>
    </row>
    <row r="165" spans="2:19">
      <c r="B165" s="13" t="s">
        <v>61</v>
      </c>
      <c r="C165" s="14">
        <v>241399</v>
      </c>
      <c r="D165" s="13" t="s">
        <v>33</v>
      </c>
      <c r="E165" s="13" t="s">
        <v>199</v>
      </c>
      <c r="F165" s="13">
        <v>0</v>
      </c>
      <c r="G165" s="13" t="s">
        <v>191</v>
      </c>
      <c r="H165" s="13"/>
      <c r="I165" s="13"/>
      <c r="J165" s="13"/>
      <c r="K165" s="13"/>
      <c r="L165" s="13">
        <v>2</v>
      </c>
      <c r="M165" s="13"/>
      <c r="N165" s="13"/>
      <c r="O165" s="13"/>
      <c r="P165" s="13"/>
      <c r="Q165" s="13" t="s">
        <v>61</v>
      </c>
      <c r="R165" s="13"/>
      <c r="S165" s="13"/>
    </row>
    <row r="166" spans="2:19">
      <c r="B166" s="13"/>
      <c r="C166" s="14">
        <v>263534</v>
      </c>
      <c r="D166" s="13" t="s">
        <v>211</v>
      </c>
      <c r="E166" s="13" t="s">
        <v>263</v>
      </c>
      <c r="F166" s="13"/>
      <c r="G166" s="13" t="s">
        <v>81</v>
      </c>
      <c r="H166" s="13" t="s">
        <v>14</v>
      </c>
      <c r="I166" s="13">
        <v>7</v>
      </c>
      <c r="J166" s="13">
        <v>10</v>
      </c>
      <c r="K166" s="13">
        <v>0</v>
      </c>
      <c r="L166" s="13">
        <v>2</v>
      </c>
      <c r="M166" s="13"/>
      <c r="N166" s="13"/>
      <c r="O166" s="13"/>
      <c r="P166" s="13"/>
      <c r="Q166" s="13"/>
      <c r="R166" s="13" t="s">
        <v>264</v>
      </c>
      <c r="S166" s="13" t="s">
        <v>265</v>
      </c>
    </row>
    <row r="167" spans="2:19">
      <c r="B167" s="13"/>
      <c r="C167" s="14">
        <v>263534</v>
      </c>
      <c r="D167" s="13" t="s">
        <v>211</v>
      </c>
      <c r="E167" s="13" t="s">
        <v>266</v>
      </c>
      <c r="F167" s="13"/>
      <c r="G167" s="13" t="s">
        <v>81</v>
      </c>
      <c r="H167" s="13" t="s">
        <v>14</v>
      </c>
      <c r="I167" s="13">
        <v>7</v>
      </c>
      <c r="J167" s="13">
        <v>7</v>
      </c>
      <c r="K167" s="13">
        <v>0</v>
      </c>
      <c r="L167" s="13">
        <v>2</v>
      </c>
      <c r="M167" s="13"/>
      <c r="N167" s="13"/>
      <c r="O167" s="13"/>
      <c r="P167" s="13"/>
      <c r="Q167" s="13"/>
      <c r="R167" s="13" t="s">
        <v>267</v>
      </c>
      <c r="S167" s="13" t="s">
        <v>265</v>
      </c>
    </row>
    <row r="168" spans="2:19">
      <c r="B168" s="13"/>
      <c r="C168" s="14">
        <v>263534</v>
      </c>
      <c r="D168" s="13" t="s">
        <v>211</v>
      </c>
      <c r="E168" s="13" t="s">
        <v>373</v>
      </c>
      <c r="F168" s="13"/>
      <c r="G168" s="13" t="s">
        <v>81</v>
      </c>
      <c r="H168" s="13" t="s">
        <v>14</v>
      </c>
      <c r="I168" s="13">
        <v>7</v>
      </c>
      <c r="J168" s="13">
        <v>7</v>
      </c>
      <c r="K168" s="13">
        <v>0</v>
      </c>
      <c r="L168" s="13">
        <v>2</v>
      </c>
      <c r="M168" s="13"/>
      <c r="N168" s="13"/>
      <c r="O168" s="13"/>
      <c r="P168" s="13"/>
      <c r="Q168" s="13"/>
      <c r="R168" s="13" t="s">
        <v>226</v>
      </c>
      <c r="S168" s="13" t="s">
        <v>15</v>
      </c>
    </row>
    <row r="169" spans="2:19">
      <c r="B169" s="13" t="s">
        <v>61</v>
      </c>
      <c r="C169" s="14">
        <v>241399</v>
      </c>
      <c r="D169" s="13" t="s">
        <v>33</v>
      </c>
      <c r="E169" s="13" t="s">
        <v>311</v>
      </c>
      <c r="F169" s="13">
        <v>5</v>
      </c>
      <c r="G169" s="13" t="s">
        <v>38</v>
      </c>
      <c r="H169" s="13"/>
      <c r="I169" s="13"/>
      <c r="J169" s="13"/>
      <c r="K169" s="13"/>
      <c r="L169" s="13">
        <v>2</v>
      </c>
      <c r="M169" s="13"/>
      <c r="N169" s="13"/>
      <c r="O169" s="13"/>
      <c r="P169" s="13"/>
      <c r="Q169" s="13" t="s">
        <v>61</v>
      </c>
      <c r="R169" s="13"/>
      <c r="S169" s="13"/>
    </row>
    <row r="170" spans="2:19">
      <c r="B170" s="13"/>
      <c r="C170" s="14">
        <v>263834</v>
      </c>
      <c r="D170" s="13" t="s">
        <v>211</v>
      </c>
      <c r="E170" s="13" t="s">
        <v>374</v>
      </c>
      <c r="F170" s="13"/>
      <c r="G170" s="13" t="s">
        <v>81</v>
      </c>
      <c r="H170" s="13" t="s">
        <v>16</v>
      </c>
      <c r="I170" s="13">
        <v>3</v>
      </c>
      <c r="J170" s="13">
        <v>6.5</v>
      </c>
      <c r="K170" s="13">
        <v>0</v>
      </c>
      <c r="L170" s="13">
        <v>2</v>
      </c>
      <c r="M170" s="13"/>
      <c r="N170" s="13"/>
      <c r="O170" s="13"/>
      <c r="P170" s="13"/>
      <c r="Q170" s="13"/>
      <c r="R170" s="13" t="s">
        <v>8</v>
      </c>
      <c r="S170" s="13" t="s">
        <v>13</v>
      </c>
    </row>
    <row r="171" spans="2:19">
      <c r="B171" s="13"/>
      <c r="C171" s="14">
        <v>263834</v>
      </c>
      <c r="D171" s="13" t="s">
        <v>211</v>
      </c>
      <c r="E171" s="13" t="s">
        <v>375</v>
      </c>
      <c r="F171" s="13"/>
      <c r="G171" s="13" t="s">
        <v>81</v>
      </c>
      <c r="H171" s="13" t="s">
        <v>16</v>
      </c>
      <c r="I171" s="13">
        <v>3</v>
      </c>
      <c r="J171" s="13">
        <v>3</v>
      </c>
      <c r="K171" s="13">
        <v>0</v>
      </c>
      <c r="L171" s="13">
        <v>2</v>
      </c>
      <c r="M171" s="13"/>
      <c r="N171" s="13"/>
      <c r="O171" s="13"/>
      <c r="P171" s="13"/>
      <c r="Q171" s="13"/>
      <c r="R171" s="13" t="s">
        <v>8</v>
      </c>
      <c r="S171" s="13" t="s">
        <v>13</v>
      </c>
    </row>
    <row r="172" spans="2:19">
      <c r="B172" s="13"/>
      <c r="C172" s="14">
        <v>263834</v>
      </c>
      <c r="D172" s="13" t="s">
        <v>211</v>
      </c>
      <c r="E172" s="13" t="s">
        <v>376</v>
      </c>
      <c r="F172" s="13"/>
      <c r="G172" s="13" t="s">
        <v>81</v>
      </c>
      <c r="H172" s="13" t="s">
        <v>16</v>
      </c>
      <c r="I172" s="13">
        <v>3</v>
      </c>
      <c r="J172" s="13">
        <v>7</v>
      </c>
      <c r="K172" s="13">
        <v>0</v>
      </c>
      <c r="L172" s="13">
        <v>2</v>
      </c>
      <c r="M172" s="13"/>
      <c r="N172" s="13"/>
      <c r="O172" s="13"/>
      <c r="P172" s="13"/>
      <c r="Q172" s="13"/>
      <c r="R172" s="13" t="s">
        <v>8</v>
      </c>
      <c r="S172" s="13" t="s">
        <v>13</v>
      </c>
    </row>
    <row r="173" spans="2:19">
      <c r="B173" s="13"/>
      <c r="C173" s="14">
        <v>263834</v>
      </c>
      <c r="D173" s="13" t="s">
        <v>211</v>
      </c>
      <c r="E173" s="13" t="s">
        <v>377</v>
      </c>
      <c r="F173" s="13"/>
      <c r="G173" s="13" t="s">
        <v>81</v>
      </c>
      <c r="H173" s="13" t="s">
        <v>18</v>
      </c>
      <c r="I173" s="13">
        <v>2</v>
      </c>
      <c r="J173" s="13">
        <v>2</v>
      </c>
      <c r="K173" s="13">
        <v>0</v>
      </c>
      <c r="L173" s="13">
        <v>2</v>
      </c>
      <c r="M173" s="13"/>
      <c r="N173" s="13"/>
      <c r="O173" s="13"/>
      <c r="P173" s="13"/>
      <c r="Q173" s="13"/>
      <c r="R173" s="13" t="s">
        <v>8</v>
      </c>
      <c r="S173" s="13" t="s">
        <v>8</v>
      </c>
    </row>
    <row r="174" spans="2:19">
      <c r="B174" s="13" t="s">
        <v>61</v>
      </c>
      <c r="C174" s="14">
        <v>241399</v>
      </c>
      <c r="D174" s="13" t="s">
        <v>33</v>
      </c>
      <c r="E174" s="13" t="s">
        <v>312</v>
      </c>
      <c r="F174" s="13">
        <v>3</v>
      </c>
      <c r="G174" s="13" t="s">
        <v>191</v>
      </c>
      <c r="H174" s="13"/>
      <c r="I174" s="13"/>
      <c r="J174" s="13"/>
      <c r="K174" s="13"/>
      <c r="L174" s="13">
        <v>2</v>
      </c>
      <c r="M174" s="13"/>
      <c r="N174" s="13"/>
      <c r="O174" s="13"/>
      <c r="P174" s="13"/>
      <c r="Q174" s="13"/>
      <c r="R174" s="13"/>
      <c r="S174" s="13"/>
    </row>
    <row r="175" spans="2:19">
      <c r="B175" s="13"/>
      <c r="C175" s="14">
        <v>264506</v>
      </c>
      <c r="D175" s="13" t="s">
        <v>211</v>
      </c>
      <c r="E175" s="13" t="s">
        <v>378</v>
      </c>
      <c r="F175" s="13"/>
      <c r="G175" s="13" t="s">
        <v>81</v>
      </c>
      <c r="H175" s="13" t="s">
        <v>18</v>
      </c>
      <c r="I175" s="13">
        <v>4</v>
      </c>
      <c r="J175" s="13">
        <v>4</v>
      </c>
      <c r="K175" s="13">
        <v>0</v>
      </c>
      <c r="L175" s="13">
        <v>2</v>
      </c>
      <c r="M175" s="13"/>
      <c r="N175" s="13"/>
      <c r="O175" s="13"/>
      <c r="P175" s="13"/>
      <c r="Q175" s="13"/>
      <c r="R175" s="13" t="s">
        <v>8</v>
      </c>
      <c r="S175" s="13" t="s">
        <v>8</v>
      </c>
    </row>
    <row r="176" spans="2:19">
      <c r="B176" s="13"/>
      <c r="C176" s="14">
        <v>264506</v>
      </c>
      <c r="D176" s="13" t="s">
        <v>211</v>
      </c>
      <c r="E176" s="13" t="s">
        <v>379</v>
      </c>
      <c r="F176" s="13"/>
      <c r="G176" s="13" t="s">
        <v>81</v>
      </c>
      <c r="H176" s="13" t="s">
        <v>18</v>
      </c>
      <c r="I176" s="13">
        <v>7</v>
      </c>
      <c r="J176" s="13">
        <v>7</v>
      </c>
      <c r="K176" s="13">
        <v>0</v>
      </c>
      <c r="L176" s="13">
        <v>2</v>
      </c>
      <c r="M176" s="13"/>
      <c r="N176" s="13"/>
      <c r="O176" s="13"/>
      <c r="P176" s="13"/>
      <c r="Q176" s="13"/>
      <c r="R176" s="13" t="s">
        <v>8</v>
      </c>
      <c r="S176" s="13" t="s">
        <v>8</v>
      </c>
    </row>
    <row r="177" spans="2:19">
      <c r="B177" s="13" t="s">
        <v>61</v>
      </c>
      <c r="C177" s="14">
        <v>195967</v>
      </c>
      <c r="D177" s="13" t="s">
        <v>33</v>
      </c>
      <c r="E177" s="13" t="s">
        <v>65</v>
      </c>
      <c r="F177" s="13">
        <v>3</v>
      </c>
      <c r="G177" s="13" t="s">
        <v>200</v>
      </c>
      <c r="H177" s="13"/>
      <c r="I177" s="13"/>
      <c r="J177" s="13"/>
      <c r="K177" s="13"/>
      <c r="L177" s="13">
        <v>1</v>
      </c>
      <c r="M177" s="13"/>
      <c r="N177" s="13"/>
      <c r="O177" s="13"/>
      <c r="P177" s="13"/>
      <c r="Q177" s="13" t="s">
        <v>61</v>
      </c>
      <c r="R177" s="13"/>
      <c r="S177" s="13"/>
    </row>
    <row r="178" spans="2:19">
      <c r="B178" s="13"/>
      <c r="C178" s="14">
        <v>247302</v>
      </c>
      <c r="D178" s="13" t="s">
        <v>211</v>
      </c>
      <c r="E178" s="13" t="s">
        <v>258</v>
      </c>
      <c r="F178" s="13"/>
      <c r="G178" s="13" t="s">
        <v>81</v>
      </c>
      <c r="H178" s="13" t="s">
        <v>23</v>
      </c>
      <c r="I178" s="13">
        <v>3</v>
      </c>
      <c r="J178" s="13">
        <v>4</v>
      </c>
      <c r="K178" s="13">
        <v>0</v>
      </c>
      <c r="L178" s="13">
        <v>2</v>
      </c>
      <c r="M178" s="13"/>
      <c r="N178" s="13"/>
      <c r="O178" s="13"/>
      <c r="P178" s="13"/>
      <c r="Q178" s="13"/>
      <c r="R178" s="13" t="s">
        <v>9</v>
      </c>
      <c r="S178" s="13" t="s">
        <v>9</v>
      </c>
    </row>
    <row r="179" spans="2:19">
      <c r="B179" s="13"/>
      <c r="C179" s="14">
        <v>247302</v>
      </c>
      <c r="D179" s="13" t="s">
        <v>211</v>
      </c>
      <c r="E179" s="13" t="s">
        <v>380</v>
      </c>
      <c r="F179" s="13"/>
      <c r="G179" s="13" t="s">
        <v>81</v>
      </c>
      <c r="H179" s="13" t="s">
        <v>14</v>
      </c>
      <c r="I179" s="13">
        <v>2</v>
      </c>
      <c r="J179" s="13">
        <v>2</v>
      </c>
      <c r="K179" s="13">
        <v>0</v>
      </c>
      <c r="L179" s="13">
        <v>2</v>
      </c>
      <c r="M179" s="13"/>
      <c r="N179" s="13"/>
      <c r="O179" s="13"/>
      <c r="P179" s="13"/>
      <c r="Q179" s="13"/>
      <c r="R179" s="13" t="s">
        <v>381</v>
      </c>
      <c r="S179" s="13" t="s">
        <v>15</v>
      </c>
    </row>
    <row r="180" spans="2:19">
      <c r="B180" s="13" t="s">
        <v>61</v>
      </c>
      <c r="C180" s="14">
        <v>195967</v>
      </c>
      <c r="D180" s="13" t="s">
        <v>33</v>
      </c>
      <c r="E180" s="13" t="s">
        <v>66</v>
      </c>
      <c r="F180" s="13">
        <v>8</v>
      </c>
      <c r="G180" s="13" t="s">
        <v>191</v>
      </c>
      <c r="H180" s="13"/>
      <c r="I180" s="13"/>
      <c r="J180" s="13"/>
      <c r="K180" s="13"/>
      <c r="L180" s="13">
        <v>2</v>
      </c>
      <c r="M180" s="13"/>
      <c r="N180" s="13"/>
      <c r="O180" s="13"/>
      <c r="P180" s="13"/>
      <c r="Q180" s="13" t="s">
        <v>61</v>
      </c>
      <c r="R180" s="13"/>
      <c r="S180" s="13"/>
    </row>
    <row r="181" spans="2:19">
      <c r="B181" s="13"/>
      <c r="C181" s="14">
        <v>253676</v>
      </c>
      <c r="D181" s="13" t="s">
        <v>211</v>
      </c>
      <c r="E181" s="13" t="s">
        <v>259</v>
      </c>
      <c r="F181" s="13"/>
      <c r="G181" s="13" t="s">
        <v>81</v>
      </c>
      <c r="H181" s="13" t="s">
        <v>18</v>
      </c>
      <c r="I181" s="13">
        <v>8</v>
      </c>
      <c r="J181" s="13">
        <v>8</v>
      </c>
      <c r="K181" s="13">
        <v>0</v>
      </c>
      <c r="L181" s="13">
        <v>2</v>
      </c>
      <c r="M181" s="13"/>
      <c r="N181" s="13"/>
      <c r="O181" s="13"/>
      <c r="P181" s="13"/>
      <c r="Q181" s="13"/>
      <c r="R181" s="13" t="s">
        <v>8</v>
      </c>
      <c r="S181" s="13" t="s">
        <v>8</v>
      </c>
    </row>
    <row r="182" spans="2:19">
      <c r="B182" s="13"/>
      <c r="C182" s="14">
        <v>253676</v>
      </c>
      <c r="D182" s="13" t="s">
        <v>211</v>
      </c>
      <c r="E182" s="13" t="s">
        <v>260</v>
      </c>
      <c r="F182" s="13"/>
      <c r="G182" s="13" t="s">
        <v>81</v>
      </c>
      <c r="H182" s="13" t="s">
        <v>18</v>
      </c>
      <c r="I182" s="13">
        <v>8</v>
      </c>
      <c r="J182" s="13">
        <v>8</v>
      </c>
      <c r="K182" s="13">
        <v>0</v>
      </c>
      <c r="L182" s="13">
        <v>2</v>
      </c>
      <c r="M182" s="13"/>
      <c r="N182" s="13"/>
      <c r="O182" s="13"/>
      <c r="P182" s="13"/>
      <c r="Q182" s="13"/>
      <c r="R182" s="13" t="s">
        <v>8</v>
      </c>
      <c r="S182" s="13" t="s">
        <v>8</v>
      </c>
    </row>
    <row r="183" spans="2:19">
      <c r="B183" s="13"/>
      <c r="C183" s="14">
        <v>253676</v>
      </c>
      <c r="D183" s="13" t="s">
        <v>211</v>
      </c>
      <c r="E183" s="13" t="s">
        <v>261</v>
      </c>
      <c r="F183" s="13"/>
      <c r="G183" s="13" t="s">
        <v>81</v>
      </c>
      <c r="H183" s="13" t="s">
        <v>18</v>
      </c>
      <c r="I183" s="13">
        <v>8</v>
      </c>
      <c r="J183" s="13">
        <v>8</v>
      </c>
      <c r="K183" s="13">
        <v>0</v>
      </c>
      <c r="L183" s="13">
        <v>2</v>
      </c>
      <c r="M183" s="13"/>
      <c r="N183" s="13"/>
      <c r="O183" s="13"/>
      <c r="P183" s="13"/>
      <c r="Q183" s="13"/>
      <c r="R183" s="13" t="s">
        <v>8</v>
      </c>
      <c r="S183" s="13" t="s">
        <v>8</v>
      </c>
    </row>
    <row r="184" spans="2:19">
      <c r="B184" s="13"/>
      <c r="C184" s="14">
        <v>253676</v>
      </c>
      <c r="D184" s="13" t="s">
        <v>211</v>
      </c>
      <c r="E184" s="13" t="s">
        <v>262</v>
      </c>
      <c r="F184" s="13"/>
      <c r="G184" s="13" t="s">
        <v>81</v>
      </c>
      <c r="H184" s="13" t="s">
        <v>18</v>
      </c>
      <c r="I184" s="13">
        <v>8</v>
      </c>
      <c r="J184" s="13">
        <v>6</v>
      </c>
      <c r="K184" s="13">
        <v>0</v>
      </c>
      <c r="L184" s="13">
        <v>2</v>
      </c>
      <c r="M184" s="13"/>
      <c r="N184" s="13"/>
      <c r="O184" s="13"/>
      <c r="P184" s="13"/>
      <c r="Q184" s="13" t="s">
        <v>83</v>
      </c>
      <c r="R184" s="13" t="s">
        <v>8</v>
      </c>
      <c r="S184" s="13" t="s">
        <v>8</v>
      </c>
    </row>
    <row r="185" spans="2:19">
      <c r="B185" s="13" t="s">
        <v>61</v>
      </c>
      <c r="C185" s="14">
        <v>195967</v>
      </c>
      <c r="D185" s="13" t="s">
        <v>33</v>
      </c>
      <c r="E185" s="13" t="s">
        <v>313</v>
      </c>
      <c r="F185" s="13">
        <v>3</v>
      </c>
      <c r="G185" s="13" t="s">
        <v>200</v>
      </c>
      <c r="H185" s="13"/>
      <c r="I185" s="13"/>
      <c r="J185" s="13"/>
      <c r="K185" s="13"/>
      <c r="L185" s="13">
        <v>1</v>
      </c>
      <c r="M185" s="13"/>
      <c r="N185" s="13"/>
      <c r="O185" s="13"/>
      <c r="P185" s="13"/>
      <c r="Q185" s="13" t="s">
        <v>61</v>
      </c>
      <c r="R185" s="13"/>
      <c r="S185" s="13"/>
    </row>
    <row r="186" spans="2:19">
      <c r="B186" s="13"/>
      <c r="C186" s="14">
        <v>247303</v>
      </c>
      <c r="D186" s="13" t="s">
        <v>211</v>
      </c>
      <c r="E186" s="13" t="s">
        <v>380</v>
      </c>
      <c r="F186" s="13"/>
      <c r="G186" s="13" t="s">
        <v>81</v>
      </c>
      <c r="H186" s="13" t="s">
        <v>14</v>
      </c>
      <c r="I186" s="13">
        <v>1</v>
      </c>
      <c r="J186" s="13">
        <v>1</v>
      </c>
      <c r="K186" s="13">
        <v>0</v>
      </c>
      <c r="L186" s="13">
        <v>2</v>
      </c>
      <c r="M186" s="13"/>
      <c r="N186" s="13"/>
      <c r="O186" s="13"/>
      <c r="P186" s="13"/>
      <c r="Q186" s="13"/>
      <c r="R186" s="13" t="s">
        <v>381</v>
      </c>
      <c r="S186" s="13" t="s">
        <v>15</v>
      </c>
    </row>
    <row r="187" spans="2:19">
      <c r="B187" s="13" t="s">
        <v>61</v>
      </c>
      <c r="C187" s="14">
        <v>195967</v>
      </c>
      <c r="D187" s="13" t="s">
        <v>33</v>
      </c>
      <c r="E187" s="13" t="s">
        <v>314</v>
      </c>
      <c r="F187" s="13">
        <v>5</v>
      </c>
      <c r="G187" s="13" t="s">
        <v>200</v>
      </c>
      <c r="H187" s="13"/>
      <c r="I187" s="13"/>
      <c r="J187" s="13"/>
      <c r="K187" s="13"/>
      <c r="L187" s="13">
        <v>1</v>
      </c>
      <c r="M187" s="13"/>
      <c r="N187" s="13"/>
      <c r="O187" s="13"/>
      <c r="P187" s="13"/>
      <c r="Q187" s="13" t="s">
        <v>61</v>
      </c>
      <c r="R187" s="13"/>
      <c r="S187" s="13"/>
    </row>
    <row r="188" spans="2:19">
      <c r="B188" s="13"/>
      <c r="C188" s="14">
        <v>247304</v>
      </c>
      <c r="D188" s="13" t="s">
        <v>211</v>
      </c>
      <c r="E188" s="13" t="s">
        <v>380</v>
      </c>
      <c r="F188" s="13"/>
      <c r="G188" s="13" t="s">
        <v>81</v>
      </c>
      <c r="H188" s="13" t="s">
        <v>14</v>
      </c>
      <c r="I188" s="13">
        <v>2</v>
      </c>
      <c r="J188" s="13">
        <v>1</v>
      </c>
      <c r="K188" s="13">
        <v>1</v>
      </c>
      <c r="L188" s="13">
        <v>2</v>
      </c>
      <c r="M188" s="13"/>
      <c r="N188" s="13"/>
      <c r="O188" s="13"/>
      <c r="P188" s="13"/>
      <c r="Q188" s="13"/>
      <c r="R188" s="13" t="s">
        <v>381</v>
      </c>
      <c r="S188" s="13" t="s">
        <v>15</v>
      </c>
    </row>
    <row r="189" spans="2:19">
      <c r="B189" s="13" t="s">
        <v>61</v>
      </c>
      <c r="C189" s="14">
        <v>195967</v>
      </c>
      <c r="D189" s="13" t="s">
        <v>33</v>
      </c>
      <c r="E189" s="13" t="s">
        <v>315</v>
      </c>
      <c r="F189" s="13">
        <v>5</v>
      </c>
      <c r="G189" s="13" t="s">
        <v>200</v>
      </c>
      <c r="H189" s="13"/>
      <c r="I189" s="13"/>
      <c r="J189" s="13"/>
      <c r="K189" s="13"/>
      <c r="L189" s="13">
        <v>1</v>
      </c>
      <c r="M189" s="13"/>
      <c r="N189" s="13"/>
      <c r="O189" s="13"/>
      <c r="P189" s="13"/>
      <c r="Q189" s="13" t="s">
        <v>61</v>
      </c>
      <c r="R189" s="13"/>
      <c r="S189" s="13"/>
    </row>
    <row r="190" spans="2:19">
      <c r="B190" s="13"/>
      <c r="C190" s="14">
        <v>247305</v>
      </c>
      <c r="D190" s="13" t="s">
        <v>211</v>
      </c>
      <c r="E190" s="13" t="s">
        <v>380</v>
      </c>
      <c r="F190" s="13"/>
      <c r="G190" s="13" t="s">
        <v>81</v>
      </c>
      <c r="H190" s="13" t="s">
        <v>14</v>
      </c>
      <c r="I190" s="13">
        <v>2</v>
      </c>
      <c r="J190" s="13">
        <v>2</v>
      </c>
      <c r="K190" s="13">
        <v>0</v>
      </c>
      <c r="L190" s="13">
        <v>2</v>
      </c>
      <c r="M190" s="13"/>
      <c r="N190" s="13"/>
      <c r="O190" s="13"/>
      <c r="P190" s="13"/>
      <c r="Q190" s="13"/>
      <c r="R190" s="13" t="s">
        <v>381</v>
      </c>
      <c r="S190" s="13" t="s">
        <v>15</v>
      </c>
    </row>
    <row r="191" spans="2:19">
      <c r="B191" s="13" t="s">
        <v>61</v>
      </c>
      <c r="C191" s="14">
        <v>195968</v>
      </c>
      <c r="D191" s="13" t="s">
        <v>33</v>
      </c>
      <c r="E191" s="13" t="s">
        <v>316</v>
      </c>
      <c r="F191" s="13">
        <v>3</v>
      </c>
      <c r="G191" s="13" t="s">
        <v>200</v>
      </c>
      <c r="H191" s="13"/>
      <c r="I191" s="13"/>
      <c r="J191" s="13"/>
      <c r="K191" s="13"/>
      <c r="L191" s="13">
        <v>1</v>
      </c>
      <c r="M191" s="13"/>
      <c r="N191" s="13"/>
      <c r="O191" s="13"/>
      <c r="P191" s="13"/>
      <c r="Q191" s="13" t="s">
        <v>61</v>
      </c>
      <c r="R191" s="13"/>
      <c r="S191" s="13"/>
    </row>
    <row r="192" spans="2:19">
      <c r="B192" s="13"/>
      <c r="C192" s="14">
        <v>247306</v>
      </c>
      <c r="D192" s="13" t="s">
        <v>211</v>
      </c>
      <c r="E192" s="13" t="s">
        <v>380</v>
      </c>
      <c r="F192" s="13"/>
      <c r="G192" s="13" t="s">
        <v>81</v>
      </c>
      <c r="H192" s="13" t="s">
        <v>14</v>
      </c>
      <c r="I192" s="13">
        <v>2</v>
      </c>
      <c r="J192" s="13">
        <v>1</v>
      </c>
      <c r="K192" s="13">
        <v>1</v>
      </c>
      <c r="L192" s="13">
        <v>2</v>
      </c>
      <c r="M192" s="13"/>
      <c r="N192" s="13"/>
      <c r="O192" s="13"/>
      <c r="P192" s="13"/>
      <c r="Q192" s="13"/>
      <c r="R192" s="13" t="s">
        <v>381</v>
      </c>
      <c r="S192" s="13" t="s">
        <v>15</v>
      </c>
    </row>
    <row r="193" spans="2:19">
      <c r="B193" s="13" t="s">
        <v>61</v>
      </c>
      <c r="C193" s="14">
        <v>195968</v>
      </c>
      <c r="D193" s="13" t="s">
        <v>33</v>
      </c>
      <c r="E193" s="13" t="s">
        <v>68</v>
      </c>
      <c r="F193" s="13">
        <v>5</v>
      </c>
      <c r="G193" s="13" t="s">
        <v>200</v>
      </c>
      <c r="H193" s="13"/>
      <c r="I193" s="13"/>
      <c r="J193" s="13"/>
      <c r="K193" s="13"/>
      <c r="L193" s="13">
        <v>2</v>
      </c>
      <c r="M193" s="13"/>
      <c r="N193" s="13"/>
      <c r="O193" s="13"/>
      <c r="P193" s="13"/>
      <c r="Q193" s="13" t="s">
        <v>61</v>
      </c>
      <c r="R193" s="13"/>
      <c r="S193" s="13"/>
    </row>
    <row r="194" spans="2:19">
      <c r="B194" s="13"/>
      <c r="C194" s="14">
        <v>247322</v>
      </c>
      <c r="D194" s="13" t="s">
        <v>211</v>
      </c>
      <c r="E194" s="13" t="s">
        <v>380</v>
      </c>
      <c r="F194" s="13"/>
      <c r="G194" s="13" t="s">
        <v>81</v>
      </c>
      <c r="H194" s="13" t="s">
        <v>14</v>
      </c>
      <c r="I194" s="13">
        <v>2</v>
      </c>
      <c r="J194" s="13">
        <v>2</v>
      </c>
      <c r="K194" s="13">
        <v>0</v>
      </c>
      <c r="L194" s="13">
        <v>2</v>
      </c>
      <c r="M194" s="13"/>
      <c r="N194" s="13"/>
      <c r="O194" s="13"/>
      <c r="P194" s="13"/>
      <c r="Q194" s="13"/>
      <c r="R194" s="13" t="s">
        <v>381</v>
      </c>
      <c r="S194" s="13" t="s">
        <v>15</v>
      </c>
    </row>
    <row r="195" spans="2:19">
      <c r="B195" s="13" t="s">
        <v>61</v>
      </c>
      <c r="C195" s="14">
        <v>195968</v>
      </c>
      <c r="D195" s="13" t="s">
        <v>33</v>
      </c>
      <c r="E195" s="13" t="s">
        <v>69</v>
      </c>
      <c r="F195" s="13">
        <v>5</v>
      </c>
      <c r="G195" s="13" t="s">
        <v>200</v>
      </c>
      <c r="H195" s="13"/>
      <c r="I195" s="13"/>
      <c r="J195" s="13"/>
      <c r="K195" s="13"/>
      <c r="L195" s="13">
        <v>2</v>
      </c>
      <c r="M195" s="13"/>
      <c r="N195" s="13"/>
      <c r="O195" s="13"/>
      <c r="P195" s="13"/>
      <c r="Q195" s="13" t="s">
        <v>61</v>
      </c>
      <c r="R195" s="13"/>
      <c r="S195" s="13"/>
    </row>
    <row r="196" spans="2:19">
      <c r="B196" s="13"/>
      <c r="C196" s="14">
        <v>247321</v>
      </c>
      <c r="D196" s="13" t="s">
        <v>211</v>
      </c>
      <c r="E196" s="13" t="s">
        <v>380</v>
      </c>
      <c r="F196" s="13"/>
      <c r="G196" s="13" t="s">
        <v>81</v>
      </c>
      <c r="H196" s="13" t="s">
        <v>14</v>
      </c>
      <c r="I196" s="13">
        <v>3</v>
      </c>
      <c r="J196" s="13">
        <v>2</v>
      </c>
      <c r="K196" s="13">
        <v>1</v>
      </c>
      <c r="L196" s="13">
        <v>2</v>
      </c>
      <c r="M196" s="13"/>
      <c r="N196" s="13"/>
      <c r="O196" s="13"/>
      <c r="P196" s="13"/>
      <c r="Q196" s="13"/>
      <c r="R196" s="13" t="s">
        <v>381</v>
      </c>
      <c r="S196" s="13" t="s">
        <v>15</v>
      </c>
    </row>
    <row r="197" spans="2:19">
      <c r="B197" s="13" t="s">
        <v>61</v>
      </c>
      <c r="C197" s="14">
        <v>195968</v>
      </c>
      <c r="D197" s="13" t="s">
        <v>33</v>
      </c>
      <c r="E197" s="13" t="s">
        <v>70</v>
      </c>
      <c r="F197" s="13">
        <v>5</v>
      </c>
      <c r="G197" s="13" t="s">
        <v>200</v>
      </c>
      <c r="H197" s="13"/>
      <c r="I197" s="13"/>
      <c r="J197" s="13"/>
      <c r="K197" s="13"/>
      <c r="L197" s="13">
        <v>2</v>
      </c>
      <c r="M197" s="13"/>
      <c r="N197" s="13"/>
      <c r="O197" s="13"/>
      <c r="P197" s="13"/>
      <c r="Q197" s="13" t="s">
        <v>61</v>
      </c>
      <c r="R197" s="13"/>
      <c r="S197" s="13"/>
    </row>
    <row r="198" spans="2:19">
      <c r="B198" s="13"/>
      <c r="C198" s="14">
        <v>247324</v>
      </c>
      <c r="D198" s="13" t="s">
        <v>211</v>
      </c>
      <c r="E198" s="13" t="s">
        <v>380</v>
      </c>
      <c r="F198" s="13"/>
      <c r="G198" s="13" t="s">
        <v>81</v>
      </c>
      <c r="H198" s="13" t="s">
        <v>14</v>
      </c>
      <c r="I198" s="13">
        <v>2</v>
      </c>
      <c r="J198" s="13">
        <v>2</v>
      </c>
      <c r="K198" s="13">
        <v>0</v>
      </c>
      <c r="L198" s="13">
        <v>2</v>
      </c>
      <c r="M198" s="13"/>
      <c r="N198" s="13"/>
      <c r="O198" s="13"/>
      <c r="P198" s="13"/>
      <c r="Q198" s="13"/>
      <c r="R198" s="13" t="s">
        <v>381</v>
      </c>
      <c r="S198" s="13" t="s">
        <v>15</v>
      </c>
    </row>
    <row r="199" spans="2:19">
      <c r="B199" s="13" t="s">
        <v>61</v>
      </c>
      <c r="C199" s="14">
        <v>195968</v>
      </c>
      <c r="D199" s="13" t="s">
        <v>33</v>
      </c>
      <c r="E199" s="13" t="s">
        <v>71</v>
      </c>
      <c r="F199" s="13">
        <v>5</v>
      </c>
      <c r="G199" s="13" t="s">
        <v>200</v>
      </c>
      <c r="H199" s="13"/>
      <c r="I199" s="13"/>
      <c r="J199" s="13"/>
      <c r="K199" s="13"/>
      <c r="L199" s="13">
        <v>2</v>
      </c>
      <c r="M199" s="13"/>
      <c r="N199" s="13"/>
      <c r="O199" s="13"/>
      <c r="P199" s="13"/>
      <c r="Q199" s="13" t="s">
        <v>61</v>
      </c>
      <c r="R199" s="13"/>
      <c r="S199" s="13"/>
    </row>
    <row r="200" spans="2:19">
      <c r="B200" s="13"/>
      <c r="C200" s="14">
        <v>247323</v>
      </c>
      <c r="D200" s="13" t="s">
        <v>211</v>
      </c>
      <c r="E200" s="13" t="s">
        <v>380</v>
      </c>
      <c r="F200" s="13"/>
      <c r="G200" s="13" t="s">
        <v>81</v>
      </c>
      <c r="H200" s="13" t="s">
        <v>14</v>
      </c>
      <c r="I200" s="13">
        <v>3</v>
      </c>
      <c r="J200" s="13">
        <v>2</v>
      </c>
      <c r="K200" s="13">
        <v>1</v>
      </c>
      <c r="L200" s="13">
        <v>2</v>
      </c>
      <c r="M200" s="13"/>
      <c r="N200" s="13"/>
      <c r="O200" s="13"/>
      <c r="P200" s="13"/>
      <c r="Q200" s="13"/>
      <c r="R200" s="13" t="s">
        <v>381</v>
      </c>
      <c r="S200" s="13" t="s">
        <v>15</v>
      </c>
    </row>
    <row r="201" spans="2:19">
      <c r="B201" s="13" t="s">
        <v>61</v>
      </c>
      <c r="C201" s="14">
        <v>195968</v>
      </c>
      <c r="D201" s="13" t="s">
        <v>33</v>
      </c>
      <c r="E201" s="13" t="s">
        <v>72</v>
      </c>
      <c r="F201" s="13">
        <v>8</v>
      </c>
      <c r="G201" s="13" t="s">
        <v>200</v>
      </c>
      <c r="H201" s="13"/>
      <c r="I201" s="13"/>
      <c r="J201" s="13"/>
      <c r="K201" s="13"/>
      <c r="L201" s="13">
        <v>1</v>
      </c>
      <c r="M201" s="13"/>
      <c r="N201" s="13"/>
      <c r="O201" s="13"/>
      <c r="P201" s="13"/>
      <c r="Q201" s="13" t="s">
        <v>61</v>
      </c>
      <c r="R201" s="13"/>
      <c r="S201" s="13"/>
    </row>
    <row r="202" spans="2:19">
      <c r="B202" s="13"/>
      <c r="C202" s="14">
        <v>247308</v>
      </c>
      <c r="D202" s="13" t="s">
        <v>211</v>
      </c>
      <c r="E202" s="13" t="s">
        <v>380</v>
      </c>
      <c r="F202" s="13"/>
      <c r="G202" s="13" t="s">
        <v>81</v>
      </c>
      <c r="H202" s="13" t="s">
        <v>14</v>
      </c>
      <c r="I202" s="13">
        <v>1</v>
      </c>
      <c r="J202" s="13">
        <v>1</v>
      </c>
      <c r="K202" s="13">
        <v>0</v>
      </c>
      <c r="L202" s="13">
        <v>2</v>
      </c>
      <c r="M202" s="13"/>
      <c r="N202" s="13"/>
      <c r="O202" s="13"/>
      <c r="P202" s="13"/>
      <c r="Q202" s="13"/>
      <c r="R202" s="13" t="s">
        <v>381</v>
      </c>
      <c r="S202" s="13" t="s">
        <v>15</v>
      </c>
    </row>
    <row r="203" spans="2:19">
      <c r="B203" s="13" t="s">
        <v>61</v>
      </c>
      <c r="C203" s="14">
        <v>195968</v>
      </c>
      <c r="D203" s="13" t="s">
        <v>33</v>
      </c>
      <c r="E203" s="13" t="s">
        <v>74</v>
      </c>
      <c r="F203" s="13">
        <v>5</v>
      </c>
      <c r="G203" s="13" t="s">
        <v>35</v>
      </c>
      <c r="H203" s="13"/>
      <c r="I203" s="13"/>
      <c r="J203" s="13"/>
      <c r="K203" s="13"/>
      <c r="L203" s="13">
        <v>1</v>
      </c>
      <c r="M203" s="13"/>
      <c r="N203" s="13"/>
      <c r="O203" s="13"/>
      <c r="P203" s="13"/>
      <c r="Q203" s="13" t="s">
        <v>61</v>
      </c>
      <c r="R203" s="13"/>
      <c r="S203" s="13"/>
    </row>
    <row r="204" spans="2:19">
      <c r="B204" s="13"/>
      <c r="C204" s="14">
        <v>247315</v>
      </c>
      <c r="D204" s="13" t="s">
        <v>211</v>
      </c>
      <c r="E204" s="13" t="s">
        <v>268</v>
      </c>
      <c r="F204" s="13"/>
      <c r="G204" s="13" t="s">
        <v>35</v>
      </c>
      <c r="H204" s="13" t="s">
        <v>23</v>
      </c>
      <c r="I204" s="13">
        <v>2</v>
      </c>
      <c r="J204" s="13">
        <v>1</v>
      </c>
      <c r="K204" s="13">
        <v>1</v>
      </c>
      <c r="L204" s="13">
        <v>2</v>
      </c>
      <c r="M204" s="13"/>
      <c r="N204" s="13"/>
      <c r="O204" s="13"/>
      <c r="P204" s="13"/>
      <c r="Q204" s="13"/>
      <c r="R204" s="13" t="s">
        <v>9</v>
      </c>
      <c r="S204" s="13" t="s">
        <v>9</v>
      </c>
    </row>
    <row r="205" spans="2:19">
      <c r="B205" s="13" t="s">
        <v>61</v>
      </c>
      <c r="C205" s="14">
        <v>195968</v>
      </c>
      <c r="D205" s="13" t="s">
        <v>33</v>
      </c>
      <c r="E205" s="13" t="s">
        <v>317</v>
      </c>
      <c r="F205" s="13">
        <v>5</v>
      </c>
      <c r="G205" s="13" t="s">
        <v>200</v>
      </c>
      <c r="H205" s="13"/>
      <c r="I205" s="13"/>
      <c r="J205" s="13"/>
      <c r="K205" s="13"/>
      <c r="L205" s="13">
        <v>1</v>
      </c>
      <c r="M205" s="13"/>
      <c r="N205" s="13"/>
      <c r="O205" s="13"/>
      <c r="P205" s="13"/>
      <c r="Q205" s="13" t="s">
        <v>61</v>
      </c>
      <c r="R205" s="13"/>
      <c r="S205" s="13"/>
    </row>
    <row r="206" spans="2:19">
      <c r="B206" s="13"/>
      <c r="C206" s="14">
        <v>247313</v>
      </c>
      <c r="D206" s="13" t="s">
        <v>211</v>
      </c>
      <c r="E206" s="13" t="s">
        <v>380</v>
      </c>
      <c r="F206" s="13"/>
      <c r="G206" s="13" t="s">
        <v>81</v>
      </c>
      <c r="H206" s="13" t="s">
        <v>14</v>
      </c>
      <c r="I206" s="13">
        <v>2</v>
      </c>
      <c r="J206" s="13">
        <v>2</v>
      </c>
      <c r="K206" s="13">
        <v>0</v>
      </c>
      <c r="L206" s="13">
        <v>2</v>
      </c>
      <c r="M206" s="13"/>
      <c r="N206" s="13"/>
      <c r="O206" s="13"/>
      <c r="P206" s="13"/>
      <c r="Q206" s="13"/>
      <c r="R206" s="13" t="s">
        <v>381</v>
      </c>
      <c r="S206" s="13" t="s">
        <v>15</v>
      </c>
    </row>
    <row r="207" spans="2:19">
      <c r="B207" s="13" t="s">
        <v>61</v>
      </c>
      <c r="C207" s="14">
        <v>195968</v>
      </c>
      <c r="D207" s="13" t="s">
        <v>33</v>
      </c>
      <c r="E207" s="13" t="s">
        <v>318</v>
      </c>
      <c r="F207" s="13">
        <v>5</v>
      </c>
      <c r="G207" s="13" t="s">
        <v>200</v>
      </c>
      <c r="H207" s="13"/>
      <c r="I207" s="13"/>
      <c r="J207" s="13"/>
      <c r="K207" s="13"/>
      <c r="L207" s="13">
        <v>1</v>
      </c>
      <c r="M207" s="13"/>
      <c r="N207" s="13"/>
      <c r="O207" s="13"/>
      <c r="P207" s="13"/>
      <c r="Q207" s="13" t="s">
        <v>61</v>
      </c>
      <c r="R207" s="13"/>
      <c r="S207" s="13"/>
    </row>
    <row r="208" spans="2:19">
      <c r="B208" s="13"/>
      <c r="C208" s="14">
        <v>247314</v>
      </c>
      <c r="D208" s="13" t="s">
        <v>211</v>
      </c>
      <c r="E208" s="13" t="s">
        <v>380</v>
      </c>
      <c r="F208" s="13"/>
      <c r="G208" s="13" t="s">
        <v>81</v>
      </c>
      <c r="H208" s="13" t="s">
        <v>14</v>
      </c>
      <c r="I208" s="13">
        <v>2</v>
      </c>
      <c r="J208" s="13">
        <v>2</v>
      </c>
      <c r="K208" s="13">
        <v>0</v>
      </c>
      <c r="L208" s="13">
        <v>2</v>
      </c>
      <c r="M208" s="13"/>
      <c r="N208" s="13"/>
      <c r="O208" s="13"/>
      <c r="P208" s="13"/>
      <c r="Q208" s="13"/>
      <c r="R208" s="13" t="s">
        <v>381</v>
      </c>
      <c r="S208" s="13" t="s">
        <v>15</v>
      </c>
    </row>
    <row r="209" spans="2:19">
      <c r="B209" s="13" t="s">
        <v>61</v>
      </c>
      <c r="C209" s="14">
        <v>195968</v>
      </c>
      <c r="D209" s="13" t="s">
        <v>33</v>
      </c>
      <c r="E209" s="13" t="s">
        <v>319</v>
      </c>
      <c r="F209" s="13">
        <v>5</v>
      </c>
      <c r="G209" s="13" t="s">
        <v>200</v>
      </c>
      <c r="H209" s="13"/>
      <c r="I209" s="13"/>
      <c r="J209" s="13"/>
      <c r="K209" s="13"/>
      <c r="L209" s="13">
        <v>1</v>
      </c>
      <c r="M209" s="13"/>
      <c r="N209" s="13"/>
      <c r="O209" s="13"/>
      <c r="P209" s="13"/>
      <c r="Q209" s="13" t="s">
        <v>61</v>
      </c>
      <c r="R209" s="13"/>
      <c r="S209" s="13"/>
    </row>
    <row r="210" spans="2:19">
      <c r="B210" s="13"/>
      <c r="C210" s="14">
        <v>247316</v>
      </c>
      <c r="D210" s="13" t="s">
        <v>211</v>
      </c>
      <c r="E210" s="13" t="s">
        <v>380</v>
      </c>
      <c r="F210" s="13"/>
      <c r="G210" s="13" t="s">
        <v>81</v>
      </c>
      <c r="H210" s="13" t="s">
        <v>14</v>
      </c>
      <c r="I210" s="13">
        <v>2</v>
      </c>
      <c r="J210" s="13">
        <v>2</v>
      </c>
      <c r="K210" s="13">
        <v>0</v>
      </c>
      <c r="L210" s="13">
        <v>2</v>
      </c>
      <c r="M210" s="13"/>
      <c r="N210" s="13"/>
      <c r="O210" s="13"/>
      <c r="P210" s="13"/>
      <c r="Q210" s="13"/>
      <c r="R210" s="13" t="s">
        <v>381</v>
      </c>
      <c r="S210" s="13" t="s">
        <v>15</v>
      </c>
    </row>
    <row r="211" spans="2:19">
      <c r="B211" s="13" t="s">
        <v>61</v>
      </c>
      <c r="C211" s="14">
        <v>195968</v>
      </c>
      <c r="D211" s="13" t="s">
        <v>33</v>
      </c>
      <c r="E211" s="13" t="s">
        <v>78</v>
      </c>
      <c r="F211" s="13">
        <v>3</v>
      </c>
      <c r="G211" s="13" t="s">
        <v>38</v>
      </c>
      <c r="H211" s="13"/>
      <c r="I211" s="13"/>
      <c r="J211" s="13"/>
      <c r="K211" s="13"/>
      <c r="L211" s="13">
        <v>1</v>
      </c>
      <c r="M211" s="13"/>
      <c r="N211" s="13"/>
      <c r="O211" s="13"/>
      <c r="P211" s="13"/>
      <c r="Q211" s="13" t="s">
        <v>61</v>
      </c>
      <c r="R211" s="13"/>
      <c r="S211" s="13"/>
    </row>
    <row r="212" spans="2:19">
      <c r="B212" s="13"/>
      <c r="C212" s="14">
        <v>247312</v>
      </c>
      <c r="D212" s="13" t="s">
        <v>211</v>
      </c>
      <c r="E212" s="13" t="s">
        <v>269</v>
      </c>
      <c r="F212" s="13"/>
      <c r="G212" s="13" t="s">
        <v>81</v>
      </c>
      <c r="H212" s="13" t="s">
        <v>23</v>
      </c>
      <c r="I212" s="13">
        <v>1</v>
      </c>
      <c r="J212" s="13">
        <v>0.52</v>
      </c>
      <c r="K212" s="13">
        <v>0</v>
      </c>
      <c r="L212" s="13">
        <v>2</v>
      </c>
      <c r="M212" s="13"/>
      <c r="N212" s="13"/>
      <c r="O212" s="13"/>
      <c r="P212" s="13"/>
      <c r="Q212" s="13"/>
      <c r="R212" s="13" t="s">
        <v>9</v>
      </c>
      <c r="S212" s="13" t="s">
        <v>9</v>
      </c>
    </row>
    <row r="213" spans="2:19">
      <c r="B213" s="13"/>
      <c r="C213" s="14">
        <v>247312</v>
      </c>
      <c r="D213" s="13" t="s">
        <v>211</v>
      </c>
      <c r="E213" s="13" t="s">
        <v>380</v>
      </c>
      <c r="F213" s="13"/>
      <c r="G213" s="13" t="s">
        <v>81</v>
      </c>
      <c r="H213" s="13" t="s">
        <v>14</v>
      </c>
      <c r="I213" s="13">
        <v>2</v>
      </c>
      <c r="J213" s="13">
        <v>2</v>
      </c>
      <c r="K213" s="13">
        <v>0</v>
      </c>
      <c r="L213" s="13">
        <v>2</v>
      </c>
      <c r="M213" s="13"/>
      <c r="N213" s="13"/>
      <c r="O213" s="13"/>
      <c r="P213" s="13"/>
      <c r="Q213" s="13"/>
      <c r="R213" s="13" t="s">
        <v>381</v>
      </c>
      <c r="S213" s="13" t="s">
        <v>15</v>
      </c>
    </row>
    <row r="214" spans="2:19">
      <c r="B214" s="13" t="s">
        <v>61</v>
      </c>
      <c r="C214" s="14">
        <v>195968</v>
      </c>
      <c r="D214" s="13" t="s">
        <v>33</v>
      </c>
      <c r="E214" s="13" t="s">
        <v>320</v>
      </c>
      <c r="F214" s="13">
        <v>5</v>
      </c>
      <c r="G214" s="13" t="s">
        <v>38</v>
      </c>
      <c r="H214" s="13"/>
      <c r="I214" s="13"/>
      <c r="J214" s="13"/>
      <c r="K214" s="13"/>
      <c r="L214" s="13">
        <v>1</v>
      </c>
      <c r="M214" s="13"/>
      <c r="N214" s="13"/>
      <c r="O214" s="13"/>
      <c r="P214" s="13"/>
      <c r="Q214" s="13" t="s">
        <v>61</v>
      </c>
      <c r="R214" s="13"/>
      <c r="S214" s="13"/>
    </row>
    <row r="215" spans="2:19">
      <c r="B215" s="13" t="s">
        <v>61</v>
      </c>
      <c r="C215" s="14">
        <v>195968</v>
      </c>
      <c r="D215" s="13" t="s">
        <v>33</v>
      </c>
      <c r="E215" s="13" t="s">
        <v>201</v>
      </c>
      <c r="F215" s="13">
        <v>3</v>
      </c>
      <c r="G215" s="13" t="s">
        <v>35</v>
      </c>
      <c r="H215" s="13"/>
      <c r="I215" s="13"/>
      <c r="J215" s="13"/>
      <c r="K215" s="13"/>
      <c r="L215" s="13">
        <v>1</v>
      </c>
      <c r="M215" s="13"/>
      <c r="N215" s="13"/>
      <c r="O215" s="13"/>
      <c r="P215" s="13"/>
      <c r="Q215" s="13" t="s">
        <v>61</v>
      </c>
      <c r="R215" s="13"/>
      <c r="S215" s="13"/>
    </row>
    <row r="216" spans="2:19">
      <c r="B216" s="13"/>
      <c r="C216" s="14">
        <v>247310</v>
      </c>
      <c r="D216" s="13" t="s">
        <v>211</v>
      </c>
      <c r="E216" s="13" t="s">
        <v>270</v>
      </c>
      <c r="F216" s="13"/>
      <c r="G216" s="13" t="s">
        <v>81</v>
      </c>
      <c r="H216" s="13" t="s">
        <v>23</v>
      </c>
      <c r="I216" s="13">
        <v>3</v>
      </c>
      <c r="J216" s="13">
        <v>4</v>
      </c>
      <c r="K216" s="13">
        <v>0</v>
      </c>
      <c r="L216" s="13">
        <v>2</v>
      </c>
      <c r="M216" s="13"/>
      <c r="N216" s="13"/>
      <c r="O216" s="13"/>
      <c r="P216" s="13"/>
      <c r="Q216" s="13"/>
      <c r="R216" s="13" t="s">
        <v>9</v>
      </c>
      <c r="S216" s="13" t="s">
        <v>9</v>
      </c>
    </row>
    <row r="217" spans="2:19">
      <c r="B217" s="13"/>
      <c r="C217" s="14">
        <v>247310</v>
      </c>
      <c r="D217" s="13" t="s">
        <v>211</v>
      </c>
      <c r="E217" s="13" t="s">
        <v>271</v>
      </c>
      <c r="F217" s="13"/>
      <c r="G217" s="13" t="s">
        <v>81</v>
      </c>
      <c r="H217" s="13" t="s">
        <v>18</v>
      </c>
      <c r="I217" s="13">
        <v>4</v>
      </c>
      <c r="J217" s="13">
        <v>4</v>
      </c>
      <c r="K217" s="13">
        <v>0</v>
      </c>
      <c r="L217" s="13">
        <v>2</v>
      </c>
      <c r="M217" s="13"/>
      <c r="N217" s="13"/>
      <c r="O217" s="13"/>
      <c r="P217" s="13"/>
      <c r="Q217" s="13"/>
      <c r="R217" s="13" t="s">
        <v>8</v>
      </c>
      <c r="S217" s="13" t="s">
        <v>8</v>
      </c>
    </row>
    <row r="218" spans="2:19">
      <c r="B218" s="13"/>
      <c r="C218" s="14">
        <v>247310</v>
      </c>
      <c r="D218" s="13" t="s">
        <v>211</v>
      </c>
      <c r="E218" s="13" t="s">
        <v>272</v>
      </c>
      <c r="F218" s="13"/>
      <c r="G218" s="13" t="s">
        <v>81</v>
      </c>
      <c r="H218" s="13" t="s">
        <v>23</v>
      </c>
      <c r="I218" s="13">
        <v>1.5</v>
      </c>
      <c r="J218" s="13">
        <v>1.5</v>
      </c>
      <c r="K218" s="13">
        <v>0</v>
      </c>
      <c r="L218" s="13">
        <v>2</v>
      </c>
      <c r="M218" s="13"/>
      <c r="N218" s="13"/>
      <c r="O218" s="13"/>
      <c r="P218" s="13"/>
      <c r="Q218" s="13" t="s">
        <v>83</v>
      </c>
      <c r="R218" s="13" t="s">
        <v>9</v>
      </c>
      <c r="S218" s="13" t="s">
        <v>9</v>
      </c>
    </row>
    <row r="219" spans="2:19">
      <c r="B219" s="13" t="s">
        <v>61</v>
      </c>
      <c r="C219" s="14">
        <v>195968</v>
      </c>
      <c r="D219" s="13" t="s">
        <v>33</v>
      </c>
      <c r="E219" s="13" t="s">
        <v>80</v>
      </c>
      <c r="F219" s="13">
        <v>5</v>
      </c>
      <c r="G219" s="13" t="s">
        <v>200</v>
      </c>
      <c r="H219" s="13"/>
      <c r="I219" s="13"/>
      <c r="J219" s="13"/>
      <c r="K219" s="13"/>
      <c r="L219" s="13">
        <v>1</v>
      </c>
      <c r="M219" s="13"/>
      <c r="N219" s="13"/>
      <c r="O219" s="13"/>
      <c r="P219" s="13"/>
      <c r="Q219" s="13" t="s">
        <v>61</v>
      </c>
      <c r="R219" s="13"/>
      <c r="S219" s="13"/>
    </row>
    <row r="220" spans="2:19">
      <c r="B220" s="13"/>
      <c r="C220" s="14">
        <v>247319</v>
      </c>
      <c r="D220" s="13" t="s">
        <v>211</v>
      </c>
      <c r="E220" s="13" t="s">
        <v>380</v>
      </c>
      <c r="F220" s="13"/>
      <c r="G220" s="13" t="s">
        <v>81</v>
      </c>
      <c r="H220" s="13" t="s">
        <v>14</v>
      </c>
      <c r="I220" s="13">
        <v>1</v>
      </c>
      <c r="J220" s="13">
        <v>1</v>
      </c>
      <c r="K220" s="13">
        <v>0</v>
      </c>
      <c r="L220" s="13">
        <v>2</v>
      </c>
      <c r="M220" s="13"/>
      <c r="N220" s="13"/>
      <c r="O220" s="13"/>
      <c r="P220" s="13"/>
      <c r="Q220" s="13"/>
      <c r="R220" s="13" t="s">
        <v>381</v>
      </c>
      <c r="S220" s="13" t="s">
        <v>15</v>
      </c>
    </row>
    <row r="221" spans="2:19">
      <c r="B221" s="13" t="s">
        <v>61</v>
      </c>
      <c r="C221" s="14">
        <v>195968</v>
      </c>
      <c r="D221" s="13" t="s">
        <v>33</v>
      </c>
      <c r="E221" s="13" t="s">
        <v>202</v>
      </c>
      <c r="F221" s="13">
        <v>3</v>
      </c>
      <c r="G221" s="13" t="s">
        <v>38</v>
      </c>
      <c r="H221" s="13"/>
      <c r="I221" s="13"/>
      <c r="J221" s="13"/>
      <c r="K221" s="13"/>
      <c r="L221" s="13">
        <v>1</v>
      </c>
      <c r="M221" s="13"/>
      <c r="N221" s="13"/>
      <c r="O221" s="13"/>
      <c r="P221" s="13"/>
      <c r="Q221" s="13" t="s">
        <v>61</v>
      </c>
      <c r="R221" s="13"/>
      <c r="S221" s="13"/>
    </row>
    <row r="222" spans="2:19">
      <c r="B222" s="13"/>
      <c r="C222" s="14">
        <v>247311</v>
      </c>
      <c r="D222" s="13" t="s">
        <v>211</v>
      </c>
      <c r="E222" s="13" t="s">
        <v>380</v>
      </c>
      <c r="F222" s="13"/>
      <c r="G222" s="13" t="s">
        <v>81</v>
      </c>
      <c r="H222" s="13" t="s">
        <v>14</v>
      </c>
      <c r="I222" s="13">
        <v>2</v>
      </c>
      <c r="J222" s="13">
        <v>2</v>
      </c>
      <c r="K222" s="13">
        <v>0</v>
      </c>
      <c r="L222" s="13">
        <v>2</v>
      </c>
      <c r="M222" s="13"/>
      <c r="N222" s="13"/>
      <c r="O222" s="13"/>
      <c r="P222" s="13"/>
      <c r="Q222" s="13"/>
      <c r="R222" s="13" t="s">
        <v>381</v>
      </c>
      <c r="S222" s="13" t="s">
        <v>15</v>
      </c>
    </row>
    <row r="223" spans="2:19">
      <c r="B223" s="13" t="s">
        <v>61</v>
      </c>
      <c r="C223" s="14">
        <v>195969</v>
      </c>
      <c r="D223" s="13" t="s">
        <v>33</v>
      </c>
      <c r="E223" s="13" t="s">
        <v>203</v>
      </c>
      <c r="F223" s="13">
        <v>5</v>
      </c>
      <c r="G223" s="13" t="s">
        <v>38</v>
      </c>
      <c r="H223" s="13"/>
      <c r="I223" s="13"/>
      <c r="J223" s="13"/>
      <c r="K223" s="13"/>
      <c r="L223" s="13">
        <v>2</v>
      </c>
      <c r="M223" s="13"/>
      <c r="N223" s="13"/>
      <c r="O223" s="13"/>
      <c r="P223" s="13"/>
      <c r="Q223" s="13" t="s">
        <v>61</v>
      </c>
      <c r="R223" s="13"/>
      <c r="S223" s="13"/>
    </row>
    <row r="224" spans="2:19">
      <c r="B224" s="13"/>
      <c r="C224" s="14">
        <v>252836</v>
      </c>
      <c r="D224" s="13" t="s">
        <v>211</v>
      </c>
      <c r="E224" s="13" t="s">
        <v>273</v>
      </c>
      <c r="F224" s="13"/>
      <c r="G224" s="13" t="s">
        <v>81</v>
      </c>
      <c r="H224" s="13" t="s">
        <v>23</v>
      </c>
      <c r="I224" s="13">
        <v>3</v>
      </c>
      <c r="J224" s="13">
        <v>3</v>
      </c>
      <c r="K224" s="13">
        <v>0</v>
      </c>
      <c r="L224" s="13">
        <v>2</v>
      </c>
      <c r="M224" s="13"/>
      <c r="N224" s="13"/>
      <c r="O224" s="13"/>
      <c r="P224" s="13"/>
      <c r="Q224" s="13" t="s">
        <v>83</v>
      </c>
      <c r="R224" s="13" t="s">
        <v>9</v>
      </c>
      <c r="S224" s="13" t="s">
        <v>9</v>
      </c>
    </row>
    <row r="225" spans="2:19">
      <c r="B225" s="13"/>
      <c r="C225" s="14">
        <v>252836</v>
      </c>
      <c r="D225" s="13" t="s">
        <v>211</v>
      </c>
      <c r="E225" s="13" t="s">
        <v>274</v>
      </c>
      <c r="F225" s="13"/>
      <c r="G225" s="13" t="s">
        <v>81</v>
      </c>
      <c r="H225" s="13" t="s">
        <v>18</v>
      </c>
      <c r="I225" s="13">
        <v>4</v>
      </c>
      <c r="J225" s="13">
        <v>4</v>
      </c>
      <c r="K225" s="13">
        <v>0</v>
      </c>
      <c r="L225" s="13">
        <v>2</v>
      </c>
      <c r="M225" s="13"/>
      <c r="N225" s="13"/>
      <c r="O225" s="13"/>
      <c r="P225" s="13"/>
      <c r="Q225" s="13"/>
      <c r="R225" s="13" t="s">
        <v>8</v>
      </c>
      <c r="S225" s="13" t="s">
        <v>8</v>
      </c>
    </row>
    <row r="226" spans="2:19">
      <c r="B226" s="13"/>
      <c r="C226" s="14">
        <v>252836</v>
      </c>
      <c r="D226" s="13" t="s">
        <v>211</v>
      </c>
      <c r="E226" s="13" t="s">
        <v>275</v>
      </c>
      <c r="F226" s="13"/>
      <c r="G226" s="13" t="s">
        <v>81</v>
      </c>
      <c r="H226" s="13" t="s">
        <v>18</v>
      </c>
      <c r="I226" s="13">
        <v>4</v>
      </c>
      <c r="J226" s="13">
        <v>4</v>
      </c>
      <c r="K226" s="13">
        <v>0</v>
      </c>
      <c r="L226" s="13">
        <v>2</v>
      </c>
      <c r="M226" s="13"/>
      <c r="N226" s="13"/>
      <c r="O226" s="13"/>
      <c r="P226" s="13"/>
      <c r="Q226" s="13"/>
      <c r="R226" s="13" t="s">
        <v>8</v>
      </c>
      <c r="S226" s="13" t="s">
        <v>8</v>
      </c>
    </row>
    <row r="227" spans="2:19">
      <c r="B227" s="13"/>
      <c r="C227" s="14">
        <v>252836</v>
      </c>
      <c r="D227" s="13" t="s">
        <v>211</v>
      </c>
      <c r="E227" s="13" t="s">
        <v>382</v>
      </c>
      <c r="F227" s="13"/>
      <c r="G227" s="13" t="s">
        <v>81</v>
      </c>
      <c r="H227" s="13" t="s">
        <v>18</v>
      </c>
      <c r="I227" s="13">
        <v>4</v>
      </c>
      <c r="J227" s="13">
        <v>2</v>
      </c>
      <c r="K227" s="13">
        <v>0</v>
      </c>
      <c r="L227" s="13">
        <v>2</v>
      </c>
      <c r="M227" s="13"/>
      <c r="N227" s="13"/>
      <c r="O227" s="13"/>
      <c r="P227" s="13"/>
      <c r="Q227" s="13"/>
      <c r="R227" s="13" t="s">
        <v>8</v>
      </c>
      <c r="S227" s="13" t="s">
        <v>8</v>
      </c>
    </row>
    <row r="228" spans="2:19">
      <c r="B228" s="13" t="s">
        <v>61</v>
      </c>
      <c r="C228" s="14">
        <v>195969</v>
      </c>
      <c r="D228" s="13" t="s">
        <v>33</v>
      </c>
      <c r="E228" s="13" t="s">
        <v>321</v>
      </c>
      <c r="F228" s="13">
        <v>5</v>
      </c>
      <c r="G228" s="13" t="s">
        <v>35</v>
      </c>
      <c r="H228" s="13"/>
      <c r="I228" s="13"/>
      <c r="J228" s="13"/>
      <c r="K228" s="13"/>
      <c r="L228" s="13">
        <v>2</v>
      </c>
      <c r="M228" s="13"/>
      <c r="N228" s="13" t="s">
        <v>8</v>
      </c>
      <c r="O228" s="13"/>
      <c r="P228" s="13"/>
      <c r="Q228" s="13" t="s">
        <v>61</v>
      </c>
      <c r="R228" s="13"/>
      <c r="S228" s="13"/>
    </row>
    <row r="229" spans="2:19">
      <c r="B229" s="13"/>
      <c r="C229" s="14">
        <v>264492</v>
      </c>
      <c r="D229" s="13" t="s">
        <v>211</v>
      </c>
      <c r="E229" s="13" t="s">
        <v>383</v>
      </c>
      <c r="F229" s="13"/>
      <c r="G229" s="13" t="s">
        <v>81</v>
      </c>
      <c r="H229" s="13" t="s">
        <v>16</v>
      </c>
      <c r="I229" s="13">
        <v>4</v>
      </c>
      <c r="J229" s="13">
        <v>4</v>
      </c>
      <c r="K229" s="13">
        <v>0</v>
      </c>
      <c r="L229" s="13">
        <v>2</v>
      </c>
      <c r="M229" s="13"/>
      <c r="N229" s="13"/>
      <c r="O229" s="13"/>
      <c r="P229" s="13"/>
      <c r="Q229" s="13"/>
      <c r="R229" s="13" t="s">
        <v>8</v>
      </c>
      <c r="S229" s="13" t="s">
        <v>13</v>
      </c>
    </row>
    <row r="230" spans="2:19">
      <c r="B230" s="13"/>
      <c r="C230" s="14">
        <v>264492</v>
      </c>
      <c r="D230" s="13" t="s">
        <v>211</v>
      </c>
      <c r="E230" s="13" t="s">
        <v>384</v>
      </c>
      <c r="F230" s="13"/>
      <c r="G230" s="13" t="s">
        <v>81</v>
      </c>
      <c r="H230" s="13" t="s">
        <v>16</v>
      </c>
      <c r="I230" s="13">
        <v>5</v>
      </c>
      <c r="J230" s="13">
        <v>5</v>
      </c>
      <c r="K230" s="13">
        <v>0</v>
      </c>
      <c r="L230" s="13">
        <v>2</v>
      </c>
      <c r="M230" s="13"/>
      <c r="N230" s="13"/>
      <c r="O230" s="13"/>
      <c r="P230" s="13"/>
      <c r="Q230" s="13"/>
      <c r="R230" s="13" t="s">
        <v>8</v>
      </c>
      <c r="S230" s="13" t="s">
        <v>13</v>
      </c>
    </row>
    <row r="231" spans="2:19">
      <c r="B231" s="13"/>
      <c r="C231" s="14">
        <v>264492</v>
      </c>
      <c r="D231" s="13" t="s">
        <v>211</v>
      </c>
      <c r="E231" s="13" t="s">
        <v>385</v>
      </c>
      <c r="F231" s="13"/>
      <c r="G231" s="13" t="s">
        <v>81</v>
      </c>
      <c r="H231" s="13" t="s">
        <v>16</v>
      </c>
      <c r="I231" s="13">
        <v>5</v>
      </c>
      <c r="J231" s="13">
        <v>5</v>
      </c>
      <c r="K231" s="13">
        <v>0</v>
      </c>
      <c r="L231" s="13">
        <v>2</v>
      </c>
      <c r="M231" s="13"/>
      <c r="N231" s="13"/>
      <c r="O231" s="13"/>
      <c r="P231" s="13"/>
      <c r="Q231" s="13"/>
      <c r="R231" s="13" t="s">
        <v>8</v>
      </c>
      <c r="S231" s="13" t="s">
        <v>13</v>
      </c>
    </row>
    <row r="232" spans="2:19">
      <c r="B232" s="13"/>
      <c r="C232" s="14">
        <v>264492</v>
      </c>
      <c r="D232" s="13" t="s">
        <v>211</v>
      </c>
      <c r="E232" s="13" t="s">
        <v>386</v>
      </c>
      <c r="F232" s="13"/>
      <c r="G232" s="13" t="s">
        <v>35</v>
      </c>
      <c r="H232" s="13" t="s">
        <v>16</v>
      </c>
      <c r="I232" s="13">
        <v>4</v>
      </c>
      <c r="J232" s="13">
        <v>4</v>
      </c>
      <c r="K232" s="13">
        <v>0</v>
      </c>
      <c r="L232" s="13">
        <v>2</v>
      </c>
      <c r="M232" s="13"/>
      <c r="N232" s="13"/>
      <c r="O232" s="13"/>
      <c r="P232" s="13"/>
      <c r="Q232" s="13"/>
      <c r="R232" s="13" t="s">
        <v>8</v>
      </c>
      <c r="S232" s="13" t="s">
        <v>13</v>
      </c>
    </row>
    <row r="233" spans="2:19">
      <c r="B233" s="13"/>
      <c r="C233" s="14">
        <v>264492</v>
      </c>
      <c r="D233" s="13" t="s">
        <v>211</v>
      </c>
      <c r="E233" s="13" t="s">
        <v>387</v>
      </c>
      <c r="F233" s="13"/>
      <c r="G233" s="13" t="s">
        <v>35</v>
      </c>
      <c r="H233" s="13" t="s">
        <v>16</v>
      </c>
      <c r="I233" s="13">
        <v>4</v>
      </c>
      <c r="J233" s="13">
        <v>3.5</v>
      </c>
      <c r="K233" s="13">
        <v>0.5</v>
      </c>
      <c r="L233" s="13">
        <v>2</v>
      </c>
      <c r="M233" s="13"/>
      <c r="N233" s="13"/>
      <c r="O233" s="13"/>
      <c r="P233" s="13"/>
      <c r="Q233" s="13"/>
      <c r="R233" s="13" t="s">
        <v>8</v>
      </c>
      <c r="S233" s="13" t="s">
        <v>13</v>
      </c>
    </row>
    <row r="234" spans="2:19">
      <c r="B234" s="13"/>
      <c r="C234" s="14">
        <v>264492</v>
      </c>
      <c r="D234" s="13" t="s">
        <v>211</v>
      </c>
      <c r="E234" s="13" t="s">
        <v>388</v>
      </c>
      <c r="F234" s="13"/>
      <c r="G234" s="13" t="s">
        <v>81</v>
      </c>
      <c r="H234" s="13" t="s">
        <v>23</v>
      </c>
      <c r="I234" s="13">
        <v>2</v>
      </c>
      <c r="J234" s="13">
        <v>1</v>
      </c>
      <c r="K234" s="13">
        <v>0</v>
      </c>
      <c r="L234" s="13">
        <v>2</v>
      </c>
      <c r="M234" s="13"/>
      <c r="N234" s="13"/>
      <c r="O234" s="13"/>
      <c r="P234" s="13"/>
      <c r="Q234" s="13" t="s">
        <v>82</v>
      </c>
      <c r="R234" s="13" t="s">
        <v>9</v>
      </c>
      <c r="S234" s="13" t="s">
        <v>9</v>
      </c>
    </row>
    <row r="235" spans="2:19">
      <c r="B235" s="13" t="s">
        <v>61</v>
      </c>
      <c r="C235" s="14">
        <v>195969</v>
      </c>
      <c r="D235" s="13" t="s">
        <v>33</v>
      </c>
      <c r="E235" s="13" t="s">
        <v>322</v>
      </c>
      <c r="F235" s="13">
        <v>5</v>
      </c>
      <c r="G235" s="13" t="s">
        <v>200</v>
      </c>
      <c r="H235" s="13"/>
      <c r="I235" s="13"/>
      <c r="J235" s="13"/>
      <c r="K235" s="13"/>
      <c r="L235" s="13">
        <v>2</v>
      </c>
      <c r="M235" s="13"/>
      <c r="N235" s="13"/>
      <c r="O235" s="13"/>
      <c r="P235" s="13"/>
      <c r="Q235" s="13" t="s">
        <v>61</v>
      </c>
      <c r="R235" s="13"/>
      <c r="S235" s="13"/>
    </row>
    <row r="236" spans="2:19">
      <c r="B236" s="13"/>
      <c r="C236" s="14">
        <v>264494</v>
      </c>
      <c r="D236" s="13" t="s">
        <v>211</v>
      </c>
      <c r="E236" s="13" t="s">
        <v>389</v>
      </c>
      <c r="F236" s="13"/>
      <c r="G236" s="13" t="s">
        <v>81</v>
      </c>
      <c r="H236" s="13" t="s">
        <v>16</v>
      </c>
      <c r="I236" s="13">
        <v>4</v>
      </c>
      <c r="J236" s="13">
        <v>4</v>
      </c>
      <c r="K236" s="13">
        <v>0</v>
      </c>
      <c r="L236" s="13">
        <v>2</v>
      </c>
      <c r="M236" s="13"/>
      <c r="N236" s="13"/>
      <c r="O236" s="13"/>
      <c r="P236" s="13"/>
      <c r="Q236" s="13"/>
      <c r="R236" s="13" t="s">
        <v>8</v>
      </c>
      <c r="S236" s="13" t="s">
        <v>13</v>
      </c>
    </row>
    <row r="237" spans="2:19">
      <c r="B237" s="13"/>
      <c r="C237" s="14">
        <v>264494</v>
      </c>
      <c r="D237" s="13" t="s">
        <v>211</v>
      </c>
      <c r="E237" s="13" t="s">
        <v>390</v>
      </c>
      <c r="F237" s="13"/>
      <c r="G237" s="13" t="s">
        <v>81</v>
      </c>
      <c r="H237" s="13" t="s">
        <v>16</v>
      </c>
      <c r="I237" s="13">
        <v>4</v>
      </c>
      <c r="J237" s="13">
        <v>4</v>
      </c>
      <c r="K237" s="13">
        <v>0</v>
      </c>
      <c r="L237" s="13">
        <v>2</v>
      </c>
      <c r="M237" s="13"/>
      <c r="N237" s="13"/>
      <c r="O237" s="13"/>
      <c r="P237" s="13"/>
      <c r="Q237" s="13"/>
      <c r="R237" s="13" t="s">
        <v>8</v>
      </c>
      <c r="S237" s="13" t="s">
        <v>13</v>
      </c>
    </row>
    <row r="238" spans="2:19">
      <c r="B238" s="13" t="s">
        <v>64</v>
      </c>
      <c r="C238" s="14">
        <v>193289</v>
      </c>
      <c r="D238" s="13" t="s">
        <v>33</v>
      </c>
      <c r="E238" s="13" t="s">
        <v>299</v>
      </c>
      <c r="F238" s="13">
        <v>5</v>
      </c>
      <c r="G238" s="13" t="s">
        <v>38</v>
      </c>
      <c r="H238" s="13"/>
      <c r="I238" s="13"/>
      <c r="J238" s="13"/>
      <c r="K238" s="13"/>
      <c r="L238" s="13">
        <v>2</v>
      </c>
      <c r="M238" s="13"/>
      <c r="N238" s="13"/>
      <c r="O238" s="13"/>
      <c r="P238" s="13"/>
      <c r="Q238" s="13" t="s">
        <v>64</v>
      </c>
      <c r="R238" s="13"/>
      <c r="S238" s="13"/>
    </row>
    <row r="239" spans="2:19">
      <c r="B239" s="13"/>
      <c r="C239" s="14">
        <v>252825</v>
      </c>
      <c r="D239" s="13" t="s">
        <v>211</v>
      </c>
      <c r="E239" s="13" t="s">
        <v>292</v>
      </c>
      <c r="F239" s="13"/>
      <c r="G239" s="13" t="s">
        <v>81</v>
      </c>
      <c r="H239" s="13" t="s">
        <v>22</v>
      </c>
      <c r="I239" s="13">
        <v>7</v>
      </c>
      <c r="J239" s="13">
        <v>10.65</v>
      </c>
      <c r="K239" s="13">
        <v>0</v>
      </c>
      <c r="L239" s="13">
        <v>2</v>
      </c>
      <c r="M239" s="13"/>
      <c r="N239" s="13"/>
      <c r="O239" s="13"/>
      <c r="P239" s="13"/>
      <c r="Q239" s="13"/>
      <c r="R239" s="13" t="s">
        <v>9</v>
      </c>
      <c r="S239" s="13" t="s">
        <v>9</v>
      </c>
    </row>
    <row r="240" spans="2:19">
      <c r="B240" s="13"/>
      <c r="C240" s="14">
        <v>252825</v>
      </c>
      <c r="D240" s="13" t="s">
        <v>211</v>
      </c>
      <c r="E240" s="13" t="s">
        <v>293</v>
      </c>
      <c r="F240" s="13"/>
      <c r="G240" s="13" t="s">
        <v>81</v>
      </c>
      <c r="H240" s="13" t="s">
        <v>22</v>
      </c>
      <c r="I240" s="13">
        <v>7</v>
      </c>
      <c r="J240" s="13">
        <v>10</v>
      </c>
      <c r="K240" s="13">
        <v>0</v>
      </c>
      <c r="L240" s="13">
        <v>2</v>
      </c>
      <c r="M240" s="13"/>
      <c r="N240" s="13"/>
      <c r="O240" s="13"/>
      <c r="P240" s="13"/>
      <c r="Q240" s="13"/>
      <c r="R240" s="13" t="s">
        <v>9</v>
      </c>
      <c r="S240" s="13" t="s">
        <v>9</v>
      </c>
    </row>
    <row r="241" spans="2:19">
      <c r="B241" s="13"/>
      <c r="C241" s="14">
        <v>252825</v>
      </c>
      <c r="D241" s="13" t="s">
        <v>211</v>
      </c>
      <c r="E241" s="13" t="s">
        <v>295</v>
      </c>
      <c r="F241" s="13"/>
      <c r="G241" s="13" t="s">
        <v>81</v>
      </c>
      <c r="H241" s="13" t="s">
        <v>22</v>
      </c>
      <c r="I241" s="13">
        <v>7</v>
      </c>
      <c r="J241" s="13">
        <v>8</v>
      </c>
      <c r="K241" s="13">
        <v>0</v>
      </c>
      <c r="L241" s="13">
        <v>2</v>
      </c>
      <c r="M241" s="13"/>
      <c r="N241" s="13"/>
      <c r="O241" s="13"/>
      <c r="P241" s="13"/>
      <c r="Q241" s="13"/>
      <c r="R241" s="13" t="s">
        <v>9</v>
      </c>
      <c r="S241" s="13" t="s">
        <v>9</v>
      </c>
    </row>
    <row r="242" spans="2:19">
      <c r="B242" s="13"/>
      <c r="C242" s="14">
        <v>252825</v>
      </c>
      <c r="D242" s="13" t="s">
        <v>211</v>
      </c>
      <c r="E242" s="13" t="s">
        <v>294</v>
      </c>
      <c r="F242" s="13"/>
      <c r="G242" s="13" t="s">
        <v>81</v>
      </c>
      <c r="H242" s="13" t="s">
        <v>22</v>
      </c>
      <c r="I242" s="13">
        <v>7</v>
      </c>
      <c r="J242" s="13">
        <v>7</v>
      </c>
      <c r="K242" s="13">
        <v>0</v>
      </c>
      <c r="L242" s="13">
        <v>2</v>
      </c>
      <c r="M242" s="13"/>
      <c r="N242" s="13"/>
      <c r="O242" s="13"/>
      <c r="P242" s="13"/>
      <c r="Q242" s="13"/>
      <c r="R242" s="13" t="s">
        <v>9</v>
      </c>
      <c r="S242" s="13" t="s">
        <v>9</v>
      </c>
    </row>
    <row r="243" spans="2:19">
      <c r="B243" s="13"/>
      <c r="C243" s="14">
        <v>252825</v>
      </c>
      <c r="D243" s="13" t="s">
        <v>211</v>
      </c>
      <c r="E243" s="13" t="s">
        <v>296</v>
      </c>
      <c r="F243" s="13"/>
      <c r="G243" s="13" t="s">
        <v>81</v>
      </c>
      <c r="H243" s="13" t="s">
        <v>22</v>
      </c>
      <c r="I243" s="13">
        <v>6</v>
      </c>
      <c r="J243" s="13">
        <v>10</v>
      </c>
      <c r="K243" s="13">
        <v>0</v>
      </c>
      <c r="L243" s="13">
        <v>2</v>
      </c>
      <c r="M243" s="13"/>
      <c r="N243" s="13"/>
      <c r="O243" s="13"/>
      <c r="P243" s="13"/>
      <c r="Q243" s="13"/>
      <c r="R243" s="13" t="s">
        <v>9</v>
      </c>
      <c r="S243" s="13" t="s">
        <v>9</v>
      </c>
    </row>
    <row r="244" spans="2:19">
      <c r="B244" s="13"/>
      <c r="C244" s="14">
        <v>252825</v>
      </c>
      <c r="D244" s="13" t="s">
        <v>211</v>
      </c>
      <c r="E244" s="13" t="s">
        <v>297</v>
      </c>
      <c r="F244" s="13"/>
      <c r="G244" s="13" t="s">
        <v>81</v>
      </c>
      <c r="H244" s="13" t="s">
        <v>22</v>
      </c>
      <c r="I244" s="13">
        <v>4</v>
      </c>
      <c r="J244" s="13">
        <v>7.25</v>
      </c>
      <c r="K244" s="13">
        <v>0</v>
      </c>
      <c r="L244" s="13">
        <v>2</v>
      </c>
      <c r="M244" s="13"/>
      <c r="N244" s="13"/>
      <c r="O244" s="13"/>
      <c r="P244" s="13"/>
      <c r="Q244" s="13"/>
      <c r="R244" s="13" t="s">
        <v>9</v>
      </c>
      <c r="S244" s="13" t="s">
        <v>9</v>
      </c>
    </row>
    <row r="245" spans="2:19">
      <c r="B245" s="13"/>
      <c r="C245" s="14">
        <v>252825</v>
      </c>
      <c r="D245" s="13" t="s">
        <v>211</v>
      </c>
      <c r="E245" s="13" t="s">
        <v>298</v>
      </c>
      <c r="F245" s="13"/>
      <c r="G245" s="13" t="s">
        <v>81</v>
      </c>
      <c r="H245" s="13" t="s">
        <v>22</v>
      </c>
      <c r="I245" s="13">
        <v>7</v>
      </c>
      <c r="J245" s="13">
        <v>7</v>
      </c>
      <c r="K245" s="13">
        <v>0</v>
      </c>
      <c r="L245" s="13">
        <v>2</v>
      </c>
      <c r="M245" s="13"/>
      <c r="N245" s="13"/>
      <c r="O245" s="13"/>
      <c r="P245" s="13"/>
      <c r="Q245" s="13"/>
      <c r="R245" s="13" t="s">
        <v>9</v>
      </c>
      <c r="S245" s="13" t="s">
        <v>9</v>
      </c>
    </row>
    <row r="246" spans="2:19">
      <c r="B246" s="13"/>
      <c r="C246" s="14">
        <v>252825</v>
      </c>
      <c r="D246" s="13" t="s">
        <v>211</v>
      </c>
      <c r="E246" s="13" t="s">
        <v>391</v>
      </c>
      <c r="F246" s="13"/>
      <c r="G246" s="13" t="s">
        <v>81</v>
      </c>
      <c r="H246" s="13" t="s">
        <v>22</v>
      </c>
      <c r="I246" s="13">
        <v>6</v>
      </c>
      <c r="J246" s="13">
        <v>7</v>
      </c>
      <c r="K246" s="13">
        <v>0</v>
      </c>
      <c r="L246" s="13">
        <v>2</v>
      </c>
      <c r="M246" s="13"/>
      <c r="N246" s="13"/>
      <c r="O246" s="13"/>
      <c r="P246" s="13"/>
      <c r="Q246" s="13"/>
      <c r="R246" s="13" t="s">
        <v>9</v>
      </c>
      <c r="S246" s="13" t="s">
        <v>9</v>
      </c>
    </row>
    <row r="247" spans="2:19">
      <c r="B247" s="13"/>
      <c r="C247" s="14">
        <v>252825</v>
      </c>
      <c r="D247" s="13" t="s">
        <v>211</v>
      </c>
      <c r="E247" s="13" t="s">
        <v>392</v>
      </c>
      <c r="F247" s="13"/>
      <c r="G247" s="13" t="s">
        <v>81</v>
      </c>
      <c r="H247" s="13" t="s">
        <v>22</v>
      </c>
      <c r="I247" s="13">
        <v>7</v>
      </c>
      <c r="J247" s="13">
        <v>7.5</v>
      </c>
      <c r="K247" s="13">
        <v>0</v>
      </c>
      <c r="L247" s="13">
        <v>2</v>
      </c>
      <c r="M247" s="13"/>
      <c r="N247" s="13"/>
      <c r="O247" s="13"/>
      <c r="P247" s="13"/>
      <c r="Q247" s="13" t="s">
        <v>393</v>
      </c>
      <c r="R247" s="13" t="s">
        <v>9</v>
      </c>
      <c r="S247" s="13" t="s">
        <v>9</v>
      </c>
    </row>
    <row r="248" spans="2:19">
      <c r="B248" s="13"/>
      <c r="C248" s="14">
        <v>252825</v>
      </c>
      <c r="D248" s="13" t="s">
        <v>211</v>
      </c>
      <c r="E248" s="13" t="s">
        <v>394</v>
      </c>
      <c r="F248" s="13"/>
      <c r="G248" s="13" t="s">
        <v>81</v>
      </c>
      <c r="H248" s="13" t="s">
        <v>22</v>
      </c>
      <c r="I248" s="13">
        <v>7</v>
      </c>
      <c r="J248" s="13">
        <v>5.5</v>
      </c>
      <c r="K248" s="13">
        <v>1.5</v>
      </c>
      <c r="L248" s="13">
        <v>2</v>
      </c>
      <c r="M248" s="13"/>
      <c r="N248" s="13"/>
      <c r="O248" s="13"/>
      <c r="P248" s="13"/>
      <c r="Q248" s="13"/>
      <c r="R248" s="13" t="s">
        <v>9</v>
      </c>
      <c r="S248" s="13" t="s">
        <v>9</v>
      </c>
    </row>
    <row r="249" spans="2:19">
      <c r="B249" s="13"/>
      <c r="C249" s="14">
        <v>252825</v>
      </c>
      <c r="D249" s="13" t="s">
        <v>211</v>
      </c>
      <c r="E249" s="13" t="s">
        <v>395</v>
      </c>
      <c r="F249" s="13"/>
      <c r="G249" s="13" t="s">
        <v>81</v>
      </c>
      <c r="H249" s="13" t="s">
        <v>22</v>
      </c>
      <c r="I249" s="13">
        <v>5</v>
      </c>
      <c r="J249" s="13">
        <v>5</v>
      </c>
      <c r="K249" s="13">
        <v>0</v>
      </c>
      <c r="L249" s="13">
        <v>2</v>
      </c>
      <c r="M249" s="13"/>
      <c r="N249" s="13"/>
      <c r="O249" s="13"/>
      <c r="P249" s="13"/>
      <c r="Q249" s="13"/>
      <c r="R249" s="13" t="s">
        <v>9</v>
      </c>
      <c r="S249" s="13" t="s">
        <v>9</v>
      </c>
    </row>
    <row r="250" spans="2:19">
      <c r="B250" s="13"/>
      <c r="C250" s="14">
        <v>252825</v>
      </c>
      <c r="D250" s="13" t="s">
        <v>211</v>
      </c>
      <c r="E250" s="13" t="s">
        <v>396</v>
      </c>
      <c r="F250" s="13"/>
      <c r="G250" s="13" t="s">
        <v>81</v>
      </c>
      <c r="H250" s="13" t="s">
        <v>22</v>
      </c>
      <c r="I250" s="13">
        <v>4</v>
      </c>
      <c r="J250" s="13">
        <v>4</v>
      </c>
      <c r="K250" s="13">
        <v>0</v>
      </c>
      <c r="L250" s="13">
        <v>2</v>
      </c>
      <c r="M250" s="13"/>
      <c r="N250" s="13"/>
      <c r="O250" s="13"/>
      <c r="P250" s="13"/>
      <c r="Q250" s="13"/>
      <c r="R250" s="13" t="s">
        <v>9</v>
      </c>
      <c r="S250" s="13" t="s">
        <v>9</v>
      </c>
    </row>
    <row r="251" spans="2:19">
      <c r="B251" s="13"/>
      <c r="C251" s="14">
        <v>252825</v>
      </c>
      <c r="D251" s="13" t="s">
        <v>211</v>
      </c>
      <c r="E251" s="13" t="s">
        <v>397</v>
      </c>
      <c r="F251" s="13"/>
      <c r="G251" s="13" t="s">
        <v>81</v>
      </c>
      <c r="H251" s="13" t="s">
        <v>22</v>
      </c>
      <c r="I251" s="13">
        <v>7</v>
      </c>
      <c r="J251" s="13">
        <v>3</v>
      </c>
      <c r="K251" s="13">
        <v>4</v>
      </c>
      <c r="L251" s="13">
        <v>2</v>
      </c>
      <c r="M251" s="13"/>
      <c r="N251" s="13"/>
      <c r="O251" s="13"/>
      <c r="P251" s="13"/>
      <c r="Q251" s="13"/>
      <c r="R251" s="13" t="s">
        <v>9</v>
      </c>
      <c r="S251" s="13" t="s">
        <v>9</v>
      </c>
    </row>
    <row r="252" spans="2:19">
      <c r="B252" s="13"/>
      <c r="C252" s="14">
        <v>252825</v>
      </c>
      <c r="D252" s="13" t="s">
        <v>211</v>
      </c>
      <c r="E252" s="13" t="s">
        <v>398</v>
      </c>
      <c r="F252" s="13"/>
      <c r="G252" s="13" t="s">
        <v>81</v>
      </c>
      <c r="H252" s="13" t="s">
        <v>18</v>
      </c>
      <c r="I252" s="13">
        <v>5</v>
      </c>
      <c r="J252" s="13">
        <v>5</v>
      </c>
      <c r="K252" s="13">
        <v>0</v>
      </c>
      <c r="L252" s="13">
        <v>2</v>
      </c>
      <c r="M252" s="13"/>
      <c r="N252" s="13"/>
      <c r="O252" s="13"/>
      <c r="P252" s="13"/>
      <c r="Q252" s="13"/>
      <c r="R252" s="13" t="s">
        <v>8</v>
      </c>
      <c r="S252" s="13" t="s">
        <v>8</v>
      </c>
    </row>
    <row r="253" spans="2:19">
      <c r="B253" s="13"/>
      <c r="C253" s="14">
        <v>252825</v>
      </c>
      <c r="D253" s="13" t="s">
        <v>211</v>
      </c>
      <c r="E253" s="13" t="s">
        <v>399</v>
      </c>
      <c r="F253" s="13"/>
      <c r="G253" s="13" t="s">
        <v>81</v>
      </c>
      <c r="H253" s="13" t="s">
        <v>22</v>
      </c>
      <c r="I253" s="13">
        <v>4</v>
      </c>
      <c r="J253" s="13">
        <v>4</v>
      </c>
      <c r="K253" s="13">
        <v>0</v>
      </c>
      <c r="L253" s="13">
        <v>2</v>
      </c>
      <c r="M253" s="13"/>
      <c r="N253" s="13"/>
      <c r="O253" s="13"/>
      <c r="P253" s="13"/>
      <c r="Q253" s="13"/>
      <c r="R253" s="13" t="s">
        <v>9</v>
      </c>
      <c r="S253" s="13" t="s">
        <v>9</v>
      </c>
    </row>
    <row r="254" spans="2:19">
      <c r="B254" s="13"/>
      <c r="C254" s="14">
        <v>252825</v>
      </c>
      <c r="D254" s="13" t="s">
        <v>211</v>
      </c>
      <c r="E254" s="13" t="s">
        <v>400</v>
      </c>
      <c r="F254" s="13"/>
      <c r="G254" s="13" t="s">
        <v>81</v>
      </c>
      <c r="H254" s="13" t="s">
        <v>20</v>
      </c>
      <c r="I254" s="13">
        <v>7</v>
      </c>
      <c r="J254" s="13">
        <v>7</v>
      </c>
      <c r="K254" s="13">
        <v>0</v>
      </c>
      <c r="L254" s="13">
        <v>2</v>
      </c>
      <c r="M254" s="13"/>
      <c r="N254" s="13"/>
      <c r="O254" s="13"/>
      <c r="P254" s="13"/>
      <c r="Q254" s="13" t="s">
        <v>83</v>
      </c>
      <c r="R254" s="13" t="s">
        <v>8</v>
      </c>
      <c r="S254" s="13" t="s">
        <v>8</v>
      </c>
    </row>
    <row r="255" spans="2:19">
      <c r="B255" s="13"/>
      <c r="C255" s="14">
        <v>252825</v>
      </c>
      <c r="D255" s="13" t="s">
        <v>211</v>
      </c>
      <c r="E255" s="13" t="s">
        <v>401</v>
      </c>
      <c r="F255" s="13"/>
      <c r="G255" s="13" t="s">
        <v>81</v>
      </c>
      <c r="H255" s="13" t="s">
        <v>18</v>
      </c>
      <c r="I255" s="13">
        <v>7</v>
      </c>
      <c r="J255" s="13">
        <v>7</v>
      </c>
      <c r="K255" s="13">
        <v>0</v>
      </c>
      <c r="L255" s="13">
        <v>2</v>
      </c>
      <c r="M255" s="13"/>
      <c r="N255" s="13"/>
      <c r="O255" s="13"/>
      <c r="P255" s="13"/>
      <c r="Q255" s="13"/>
      <c r="R255" s="13" t="s">
        <v>8</v>
      </c>
      <c r="S255" s="13" t="s">
        <v>8</v>
      </c>
    </row>
    <row r="256" spans="2:19">
      <c r="B256" s="13"/>
      <c r="C256" s="14">
        <v>252825</v>
      </c>
      <c r="D256" s="13" t="s">
        <v>211</v>
      </c>
      <c r="E256" s="13" t="s">
        <v>402</v>
      </c>
      <c r="F256" s="13"/>
      <c r="G256" s="13" t="s">
        <v>81</v>
      </c>
      <c r="H256" s="13" t="s">
        <v>18</v>
      </c>
      <c r="I256" s="13">
        <v>7</v>
      </c>
      <c r="J256" s="13">
        <v>7</v>
      </c>
      <c r="K256" s="13">
        <v>0</v>
      </c>
      <c r="L256" s="13">
        <v>2</v>
      </c>
      <c r="M256" s="13"/>
      <c r="N256" s="13"/>
      <c r="O256" s="13"/>
      <c r="P256" s="13"/>
      <c r="Q256" s="13"/>
      <c r="R256" s="13" t="s">
        <v>8</v>
      </c>
      <c r="S256" s="13" t="s">
        <v>8</v>
      </c>
    </row>
    <row r="257" spans="2:19">
      <c r="B257" s="13"/>
      <c r="C257" s="14">
        <v>252825</v>
      </c>
      <c r="D257" s="13" t="s">
        <v>211</v>
      </c>
      <c r="E257" s="13" t="s">
        <v>403</v>
      </c>
      <c r="F257" s="13"/>
      <c r="G257" s="13" t="s">
        <v>81</v>
      </c>
      <c r="H257" s="13" t="s">
        <v>7</v>
      </c>
      <c r="I257" s="13">
        <v>7</v>
      </c>
      <c r="J257" s="13">
        <v>7</v>
      </c>
      <c r="K257" s="13">
        <v>0</v>
      </c>
      <c r="L257" s="13">
        <v>2</v>
      </c>
      <c r="M257" s="13"/>
      <c r="N257" s="13"/>
      <c r="O257" s="13"/>
      <c r="P257" s="13"/>
      <c r="Q257" s="13"/>
      <c r="R257" s="13" t="s">
        <v>8</v>
      </c>
      <c r="S257" s="13" t="s">
        <v>8</v>
      </c>
    </row>
    <row r="258" spans="2:19">
      <c r="B258" s="13"/>
      <c r="C258" s="14">
        <v>252825</v>
      </c>
      <c r="D258" s="13" t="s">
        <v>211</v>
      </c>
      <c r="E258" s="13" t="s">
        <v>404</v>
      </c>
      <c r="F258" s="13"/>
      <c r="G258" s="13" t="s">
        <v>81</v>
      </c>
      <c r="H258" s="13" t="s">
        <v>20</v>
      </c>
      <c r="I258" s="13">
        <v>7</v>
      </c>
      <c r="J258" s="13">
        <v>7</v>
      </c>
      <c r="K258" s="13">
        <v>0</v>
      </c>
      <c r="L258" s="13">
        <v>2</v>
      </c>
      <c r="M258" s="13"/>
      <c r="N258" s="13"/>
      <c r="O258" s="13"/>
      <c r="P258" s="13"/>
      <c r="Q258" s="13"/>
      <c r="R258" s="13" t="s">
        <v>8</v>
      </c>
      <c r="S258" s="13" t="s">
        <v>8</v>
      </c>
    </row>
    <row r="259" spans="2:19">
      <c r="B259" s="13"/>
      <c r="C259" s="14">
        <v>252825</v>
      </c>
      <c r="D259" s="13" t="s">
        <v>211</v>
      </c>
      <c r="E259" s="13" t="s">
        <v>405</v>
      </c>
      <c r="F259" s="13"/>
      <c r="G259" s="13" t="s">
        <v>81</v>
      </c>
      <c r="H259" s="13" t="s">
        <v>20</v>
      </c>
      <c r="I259" s="13">
        <v>7</v>
      </c>
      <c r="J259" s="13">
        <v>7</v>
      </c>
      <c r="K259" s="13">
        <v>0</v>
      </c>
      <c r="L259" s="13">
        <v>2</v>
      </c>
      <c r="M259" s="13"/>
      <c r="N259" s="13"/>
      <c r="O259" s="13"/>
      <c r="P259" s="13"/>
      <c r="Q259" s="13"/>
      <c r="R259" s="13" t="s">
        <v>8</v>
      </c>
      <c r="S259" s="13" t="s">
        <v>8</v>
      </c>
    </row>
    <row r="260" spans="2:19">
      <c r="B260" s="13"/>
      <c r="C260" s="14">
        <v>252825</v>
      </c>
      <c r="D260" s="13" t="s">
        <v>211</v>
      </c>
      <c r="E260" s="13" t="s">
        <v>406</v>
      </c>
      <c r="F260" s="13"/>
      <c r="G260" s="13" t="s">
        <v>81</v>
      </c>
      <c r="H260" s="13" t="s">
        <v>7</v>
      </c>
      <c r="I260" s="13">
        <v>14</v>
      </c>
      <c r="J260" s="13">
        <v>4</v>
      </c>
      <c r="K260" s="13">
        <v>10</v>
      </c>
      <c r="L260" s="13">
        <v>2</v>
      </c>
      <c r="M260" s="13"/>
      <c r="N260" s="13"/>
      <c r="O260" s="13"/>
      <c r="P260" s="13"/>
      <c r="Q260" s="13" t="s">
        <v>340</v>
      </c>
      <c r="R260" s="13" t="s">
        <v>8</v>
      </c>
      <c r="S260" s="13" t="s">
        <v>8</v>
      </c>
    </row>
    <row r="261" spans="2:19">
      <c r="B261" s="13"/>
      <c r="C261" s="14">
        <v>252825</v>
      </c>
      <c r="D261" s="13" t="s">
        <v>211</v>
      </c>
      <c r="E261" s="13" t="s">
        <v>407</v>
      </c>
      <c r="F261" s="13"/>
      <c r="G261" s="13" t="s">
        <v>81</v>
      </c>
      <c r="H261" s="13" t="s">
        <v>20</v>
      </c>
      <c r="I261" s="13">
        <v>7</v>
      </c>
      <c r="J261" s="13">
        <v>7</v>
      </c>
      <c r="K261" s="13">
        <v>0</v>
      </c>
      <c r="L261" s="13">
        <v>2</v>
      </c>
      <c r="M261" s="13"/>
      <c r="N261" s="13"/>
      <c r="O261" s="13"/>
      <c r="P261" s="13"/>
      <c r="Q261" s="13" t="s">
        <v>83</v>
      </c>
      <c r="R261" s="13" t="s">
        <v>8</v>
      </c>
      <c r="S261" s="13" t="s">
        <v>8</v>
      </c>
    </row>
    <row r="262" spans="2:19">
      <c r="B262" s="13"/>
      <c r="C262" s="14">
        <v>252825</v>
      </c>
      <c r="D262" s="13" t="s">
        <v>211</v>
      </c>
      <c r="E262" s="13" t="s">
        <v>408</v>
      </c>
      <c r="F262" s="13"/>
      <c r="G262" s="13" t="s">
        <v>81</v>
      </c>
      <c r="H262" s="13" t="s">
        <v>7</v>
      </c>
      <c r="I262" s="13">
        <v>5</v>
      </c>
      <c r="J262" s="13">
        <v>5</v>
      </c>
      <c r="K262" s="13">
        <v>0</v>
      </c>
      <c r="L262" s="13">
        <v>2</v>
      </c>
      <c r="M262" s="13"/>
      <c r="N262" s="13"/>
      <c r="O262" s="13"/>
      <c r="P262" s="13"/>
      <c r="Q262" s="13"/>
      <c r="R262" s="13" t="s">
        <v>8</v>
      </c>
      <c r="S262" s="13" t="s">
        <v>8</v>
      </c>
    </row>
    <row r="263" spans="2:19">
      <c r="B263" s="13"/>
      <c r="C263" s="14">
        <v>252825</v>
      </c>
      <c r="D263" s="13" t="s">
        <v>211</v>
      </c>
      <c r="E263" s="13" t="s">
        <v>409</v>
      </c>
      <c r="F263" s="13"/>
      <c r="G263" s="13" t="s">
        <v>81</v>
      </c>
      <c r="H263" s="13" t="s">
        <v>18</v>
      </c>
      <c r="I263" s="13">
        <v>7</v>
      </c>
      <c r="J263" s="13">
        <v>7</v>
      </c>
      <c r="K263" s="13">
        <v>0</v>
      </c>
      <c r="L263" s="13">
        <v>2</v>
      </c>
      <c r="M263" s="13"/>
      <c r="N263" s="13"/>
      <c r="O263" s="13"/>
      <c r="P263" s="13"/>
      <c r="Q263" s="13"/>
      <c r="R263" s="13" t="s">
        <v>8</v>
      </c>
      <c r="S263" s="13" t="s">
        <v>8</v>
      </c>
    </row>
    <row r="264" spans="2:19">
      <c r="B264" s="13"/>
      <c r="C264" s="14">
        <v>252825</v>
      </c>
      <c r="D264" s="13" t="s">
        <v>211</v>
      </c>
      <c r="E264" s="13" t="s">
        <v>410</v>
      </c>
      <c r="F264" s="13"/>
      <c r="G264" s="13" t="s">
        <v>81</v>
      </c>
      <c r="H264" s="13" t="s">
        <v>20</v>
      </c>
      <c r="I264" s="13">
        <v>7</v>
      </c>
      <c r="J264" s="13">
        <v>7</v>
      </c>
      <c r="K264" s="13">
        <v>0</v>
      </c>
      <c r="L264" s="13">
        <v>2</v>
      </c>
      <c r="M264" s="13"/>
      <c r="N264" s="13"/>
      <c r="O264" s="13"/>
      <c r="P264" s="13"/>
      <c r="Q264" s="13"/>
      <c r="R264" s="13" t="s">
        <v>8</v>
      </c>
      <c r="S264" s="13" t="s">
        <v>8</v>
      </c>
    </row>
    <row r="265" spans="2:19">
      <c r="B265" s="13"/>
      <c r="C265" s="14">
        <v>252825</v>
      </c>
      <c r="D265" s="13" t="s">
        <v>211</v>
      </c>
      <c r="E265" s="13" t="s">
        <v>411</v>
      </c>
      <c r="F265" s="13"/>
      <c r="G265" s="13" t="s">
        <v>81</v>
      </c>
      <c r="H265" s="13" t="s">
        <v>20</v>
      </c>
      <c r="I265" s="13">
        <v>3</v>
      </c>
      <c r="J265" s="13">
        <v>3</v>
      </c>
      <c r="K265" s="13">
        <v>0</v>
      </c>
      <c r="L265" s="13">
        <v>2</v>
      </c>
      <c r="M265" s="13"/>
      <c r="N265" s="13"/>
      <c r="O265" s="13"/>
      <c r="P265" s="13"/>
      <c r="Q265" s="13"/>
      <c r="R265" s="13" t="s">
        <v>8</v>
      </c>
      <c r="S265" s="13" t="s">
        <v>8</v>
      </c>
    </row>
    <row r="266" spans="2:19">
      <c r="B266" s="13"/>
      <c r="C266" s="14">
        <v>252825</v>
      </c>
      <c r="D266" s="13" t="s">
        <v>211</v>
      </c>
      <c r="E266" s="13" t="s">
        <v>412</v>
      </c>
      <c r="F266" s="13"/>
      <c r="G266" s="13" t="s">
        <v>81</v>
      </c>
      <c r="H266" s="13" t="s">
        <v>18</v>
      </c>
      <c r="I266" s="13">
        <v>7</v>
      </c>
      <c r="J266" s="13">
        <v>7</v>
      </c>
      <c r="K266" s="13">
        <v>0</v>
      </c>
      <c r="L266" s="13">
        <v>2</v>
      </c>
      <c r="M266" s="13"/>
      <c r="N266" s="13"/>
      <c r="O266" s="13"/>
      <c r="P266" s="13"/>
      <c r="Q266" s="13"/>
      <c r="R266" s="13" t="s">
        <v>8</v>
      </c>
      <c r="S266" s="13" t="s">
        <v>8</v>
      </c>
    </row>
    <row r="267" spans="2:19">
      <c r="B267" s="13"/>
      <c r="C267" s="14">
        <v>252825</v>
      </c>
      <c r="D267" s="13" t="s">
        <v>211</v>
      </c>
      <c r="E267" s="13" t="s">
        <v>413</v>
      </c>
      <c r="F267" s="13"/>
      <c r="G267" s="13" t="s">
        <v>81</v>
      </c>
      <c r="H267" s="13" t="s">
        <v>22</v>
      </c>
      <c r="I267" s="13">
        <v>4</v>
      </c>
      <c r="J267" s="13">
        <v>3</v>
      </c>
      <c r="K267" s="13">
        <v>1</v>
      </c>
      <c r="L267" s="13">
        <v>2</v>
      </c>
      <c r="M267" s="13"/>
      <c r="N267" s="13"/>
      <c r="O267" s="13"/>
      <c r="P267" s="13"/>
      <c r="Q267" s="13" t="s">
        <v>340</v>
      </c>
      <c r="R267" s="13" t="s">
        <v>9</v>
      </c>
      <c r="S267" s="13" t="s">
        <v>9</v>
      </c>
    </row>
    <row r="268" spans="2:19">
      <c r="B268" s="13" t="s">
        <v>204</v>
      </c>
      <c r="C268" s="14">
        <v>240010</v>
      </c>
      <c r="D268" s="13" t="s">
        <v>33</v>
      </c>
      <c r="E268" s="13" t="s">
        <v>205</v>
      </c>
      <c r="F268" s="13">
        <v>0</v>
      </c>
      <c r="G268" s="13" t="s">
        <v>42</v>
      </c>
      <c r="H268" s="13"/>
      <c r="I268" s="13"/>
      <c r="J268" s="13"/>
      <c r="K268" s="13"/>
      <c r="L268" s="13">
        <v>2</v>
      </c>
      <c r="M268" s="13"/>
      <c r="N268" s="13" t="s">
        <v>15</v>
      </c>
      <c r="O268" s="13"/>
      <c r="P268" s="13"/>
      <c r="Q268" s="13"/>
      <c r="R268" s="13"/>
      <c r="S268" s="13"/>
    </row>
    <row r="269" spans="2:19">
      <c r="B269" s="13"/>
      <c r="C269" s="14">
        <v>262102</v>
      </c>
      <c r="D269" s="13" t="s">
        <v>211</v>
      </c>
      <c r="E269" s="13" t="s">
        <v>276</v>
      </c>
      <c r="F269" s="13"/>
      <c r="G269" s="13" t="s">
        <v>77</v>
      </c>
      <c r="H269" s="13" t="s">
        <v>14</v>
      </c>
      <c r="I269" s="13">
        <v>5</v>
      </c>
      <c r="J269" s="13">
        <v>5</v>
      </c>
      <c r="K269" s="13">
        <v>0</v>
      </c>
      <c r="L269" s="13">
        <v>2</v>
      </c>
      <c r="M269" s="13"/>
      <c r="N269" s="13"/>
      <c r="O269" s="13"/>
      <c r="P269" s="13"/>
      <c r="Q269" s="13"/>
      <c r="R269" s="13" t="s">
        <v>226</v>
      </c>
      <c r="S269" s="13" t="s">
        <v>15</v>
      </c>
    </row>
    <row r="270" spans="2:19">
      <c r="B270" s="13" t="s">
        <v>204</v>
      </c>
      <c r="C270" s="14">
        <v>260486</v>
      </c>
      <c r="D270" s="13" t="s">
        <v>33</v>
      </c>
      <c r="E270" s="13" t="s">
        <v>206</v>
      </c>
      <c r="F270" s="13">
        <v>0</v>
      </c>
      <c r="G270" s="13" t="s">
        <v>196</v>
      </c>
      <c r="H270" s="13"/>
      <c r="I270" s="13"/>
      <c r="J270" s="13"/>
      <c r="K270" s="13"/>
      <c r="L270" s="13">
        <v>2</v>
      </c>
      <c r="M270" s="13"/>
      <c r="N270" s="13"/>
      <c r="O270" s="13"/>
      <c r="P270" s="13"/>
      <c r="Q270" s="13" t="s">
        <v>207</v>
      </c>
      <c r="R270" s="13"/>
      <c r="S270" s="13"/>
    </row>
    <row r="271" spans="2:19">
      <c r="B271" s="13"/>
      <c r="C271" s="14">
        <v>260487</v>
      </c>
      <c r="D271" s="13" t="s">
        <v>211</v>
      </c>
      <c r="E271" s="13" t="s">
        <v>278</v>
      </c>
      <c r="F271" s="13"/>
      <c r="G271" s="13" t="s">
        <v>81</v>
      </c>
      <c r="H271" s="13" t="s">
        <v>14</v>
      </c>
      <c r="I271" s="13">
        <v>2</v>
      </c>
      <c r="J271" s="13">
        <v>0</v>
      </c>
      <c r="K271" s="13">
        <v>2</v>
      </c>
      <c r="L271" s="13">
        <v>2</v>
      </c>
      <c r="M271" s="13"/>
      <c r="N271" s="13"/>
      <c r="O271" s="13"/>
      <c r="P271" s="13"/>
      <c r="Q271" s="13"/>
      <c r="R271" s="13" t="s">
        <v>226</v>
      </c>
      <c r="S271" s="13" t="s">
        <v>15</v>
      </c>
    </row>
    <row r="272" spans="2:19">
      <c r="B272" s="13" t="s">
        <v>208</v>
      </c>
      <c r="C272" s="14">
        <v>247821</v>
      </c>
      <c r="D272" s="13" t="s">
        <v>33</v>
      </c>
      <c r="E272" s="13" t="s">
        <v>323</v>
      </c>
      <c r="F272" s="13">
        <v>0</v>
      </c>
      <c r="G272" s="13" t="s">
        <v>196</v>
      </c>
      <c r="H272" s="13"/>
      <c r="I272" s="13"/>
      <c r="J272" s="13"/>
      <c r="K272" s="13"/>
      <c r="L272" s="13">
        <v>2</v>
      </c>
      <c r="M272" s="13"/>
      <c r="N272" s="13"/>
      <c r="O272" s="13"/>
      <c r="P272" s="13"/>
      <c r="Q272" s="13"/>
      <c r="R272" s="13"/>
      <c r="S272" s="13"/>
    </row>
    <row r="273" spans="2:19">
      <c r="B273" s="13"/>
      <c r="C273" s="14">
        <v>263833</v>
      </c>
      <c r="D273" s="13" t="s">
        <v>211</v>
      </c>
      <c r="E273" s="13" t="s">
        <v>281</v>
      </c>
      <c r="F273" s="13"/>
      <c r="G273" s="13" t="s">
        <v>81</v>
      </c>
      <c r="H273" s="13" t="s">
        <v>217</v>
      </c>
      <c r="I273" s="13">
        <v>0</v>
      </c>
      <c r="J273" s="13">
        <v>7.08</v>
      </c>
      <c r="K273" s="13">
        <v>0</v>
      </c>
      <c r="L273" s="13">
        <v>2</v>
      </c>
      <c r="M273" s="13"/>
      <c r="N273" s="13"/>
      <c r="O273" s="13"/>
      <c r="P273" s="13"/>
      <c r="Q273" s="13"/>
      <c r="R273" s="13" t="s">
        <v>280</v>
      </c>
      <c r="S273" s="13" t="s">
        <v>9</v>
      </c>
    </row>
    <row r="274" spans="2:19">
      <c r="B274" s="13"/>
      <c r="C274" s="14">
        <v>263833</v>
      </c>
      <c r="D274" s="13" t="s">
        <v>211</v>
      </c>
      <c r="E274" s="13" t="s">
        <v>285</v>
      </c>
      <c r="F274" s="13"/>
      <c r="G274" s="13" t="s">
        <v>81</v>
      </c>
      <c r="H274" s="13" t="s">
        <v>22</v>
      </c>
      <c r="I274" s="13">
        <v>0</v>
      </c>
      <c r="J274" s="13">
        <v>11.02</v>
      </c>
      <c r="K274" s="13">
        <v>0</v>
      </c>
      <c r="L274" s="13">
        <v>2</v>
      </c>
      <c r="M274" s="13"/>
      <c r="N274" s="13"/>
      <c r="O274" s="13"/>
      <c r="P274" s="13"/>
      <c r="Q274" s="13"/>
      <c r="R274" s="13" t="s">
        <v>9</v>
      </c>
      <c r="S274" s="13" t="s">
        <v>9</v>
      </c>
    </row>
    <row r="275" spans="2:19">
      <c r="B275" s="13"/>
      <c r="C275" s="14">
        <v>263833</v>
      </c>
      <c r="D275" s="13" t="s">
        <v>211</v>
      </c>
      <c r="E275" s="13" t="s">
        <v>279</v>
      </c>
      <c r="F275" s="13"/>
      <c r="G275" s="13" t="s">
        <v>81</v>
      </c>
      <c r="H275" s="13" t="s">
        <v>7</v>
      </c>
      <c r="I275" s="13">
        <v>0</v>
      </c>
      <c r="J275" s="13">
        <v>47</v>
      </c>
      <c r="K275" s="13">
        <v>0</v>
      </c>
      <c r="L275" s="13">
        <v>2</v>
      </c>
      <c r="M275" s="13"/>
      <c r="N275" s="13"/>
      <c r="O275" s="13"/>
      <c r="P275" s="13"/>
      <c r="Q275" s="13"/>
      <c r="R275" s="13" t="s">
        <v>8</v>
      </c>
      <c r="S275" s="13" t="s">
        <v>8</v>
      </c>
    </row>
    <row r="276" spans="2:19">
      <c r="B276" s="13"/>
      <c r="C276" s="14">
        <v>263833</v>
      </c>
      <c r="D276" s="13" t="s">
        <v>211</v>
      </c>
      <c r="E276" s="13" t="s">
        <v>414</v>
      </c>
      <c r="F276" s="13"/>
      <c r="G276" s="13" t="s">
        <v>81</v>
      </c>
      <c r="H276" s="13" t="s">
        <v>16</v>
      </c>
      <c r="I276" s="13">
        <v>0</v>
      </c>
      <c r="J276" s="13">
        <v>22</v>
      </c>
      <c r="K276" s="13">
        <v>0</v>
      </c>
      <c r="L276" s="13">
        <v>2</v>
      </c>
      <c r="M276" s="13"/>
      <c r="N276" s="13"/>
      <c r="O276" s="13"/>
      <c r="P276" s="13"/>
      <c r="Q276" s="13"/>
      <c r="R276" s="13" t="s">
        <v>226</v>
      </c>
      <c r="S276" s="13" t="s">
        <v>13</v>
      </c>
    </row>
    <row r="277" spans="2:19">
      <c r="B277" s="13"/>
      <c r="C277" s="14">
        <v>263833</v>
      </c>
      <c r="D277" s="13" t="s">
        <v>211</v>
      </c>
      <c r="E277" s="13" t="s">
        <v>283</v>
      </c>
      <c r="F277" s="13"/>
      <c r="G277" s="13" t="s">
        <v>81</v>
      </c>
      <c r="H277" s="13" t="s">
        <v>20</v>
      </c>
      <c r="I277" s="13">
        <v>0</v>
      </c>
      <c r="J277" s="13">
        <v>21</v>
      </c>
      <c r="K277" s="13">
        <v>0</v>
      </c>
      <c r="L277" s="13">
        <v>2</v>
      </c>
      <c r="M277" s="13"/>
      <c r="N277" s="13"/>
      <c r="O277" s="13"/>
      <c r="P277" s="13"/>
      <c r="Q277" s="13"/>
      <c r="R277" s="13" t="s">
        <v>8</v>
      </c>
      <c r="S277" s="13" t="s">
        <v>8</v>
      </c>
    </row>
    <row r="278" spans="2:19">
      <c r="B278" s="13"/>
      <c r="C278" s="14">
        <v>263833</v>
      </c>
      <c r="D278" s="13" t="s">
        <v>211</v>
      </c>
      <c r="E278" s="13" t="s">
        <v>415</v>
      </c>
      <c r="F278" s="13"/>
      <c r="G278" s="13" t="s">
        <v>81</v>
      </c>
      <c r="H278" s="13" t="s">
        <v>14</v>
      </c>
      <c r="I278" s="13">
        <v>10</v>
      </c>
      <c r="J278" s="13">
        <v>9</v>
      </c>
      <c r="K278" s="13">
        <v>1</v>
      </c>
      <c r="L278" s="13">
        <v>2</v>
      </c>
      <c r="M278" s="13"/>
      <c r="N278" s="13"/>
      <c r="O278" s="13"/>
      <c r="P278" s="13"/>
      <c r="Q278" s="13"/>
      <c r="R278" s="13" t="s">
        <v>280</v>
      </c>
      <c r="S278" s="13" t="s">
        <v>15</v>
      </c>
    </row>
    <row r="279" spans="2:19">
      <c r="B279" s="13"/>
      <c r="C279" s="14">
        <v>263833</v>
      </c>
      <c r="D279" s="13" t="s">
        <v>211</v>
      </c>
      <c r="E279" s="13" t="s">
        <v>284</v>
      </c>
      <c r="F279" s="13"/>
      <c r="G279" s="13" t="s">
        <v>81</v>
      </c>
      <c r="H279" s="13" t="s">
        <v>18</v>
      </c>
      <c r="I279" s="13">
        <v>0</v>
      </c>
      <c r="J279" s="13">
        <v>14</v>
      </c>
      <c r="K279" s="13">
        <v>0</v>
      </c>
      <c r="L279" s="13">
        <v>2</v>
      </c>
      <c r="M279" s="13"/>
      <c r="N279" s="13"/>
      <c r="O279" s="13"/>
      <c r="P279" s="13"/>
      <c r="Q279" s="13"/>
      <c r="R279" s="13" t="s">
        <v>8</v>
      </c>
      <c r="S279" s="13" t="s">
        <v>8</v>
      </c>
    </row>
    <row r="280" spans="2:19">
      <c r="B280" s="13"/>
      <c r="C280" s="14">
        <v>263833</v>
      </c>
      <c r="D280" s="13" t="s">
        <v>211</v>
      </c>
      <c r="E280" s="13" t="s">
        <v>416</v>
      </c>
      <c r="F280" s="13"/>
      <c r="G280" s="13" t="s">
        <v>81</v>
      </c>
      <c r="H280" s="13" t="s">
        <v>23</v>
      </c>
      <c r="I280" s="13">
        <v>0</v>
      </c>
      <c r="J280" s="13">
        <v>13.67</v>
      </c>
      <c r="K280" s="13">
        <v>0</v>
      </c>
      <c r="L280" s="13">
        <v>2</v>
      </c>
      <c r="M280" s="13"/>
      <c r="N280" s="13"/>
      <c r="O280" s="13"/>
      <c r="P280" s="13"/>
      <c r="Q280" s="13"/>
      <c r="R280" s="13" t="s">
        <v>280</v>
      </c>
      <c r="S280" s="13" t="s">
        <v>9</v>
      </c>
    </row>
    <row r="281" spans="2:19">
      <c r="B281" s="13"/>
      <c r="C281" s="14">
        <v>263833</v>
      </c>
      <c r="D281" s="13" t="s">
        <v>211</v>
      </c>
      <c r="E281" s="13" t="s">
        <v>282</v>
      </c>
      <c r="F281" s="13"/>
      <c r="G281" s="13" t="s">
        <v>81</v>
      </c>
      <c r="H281" s="13" t="s">
        <v>10</v>
      </c>
      <c r="I281" s="13">
        <v>0</v>
      </c>
      <c r="J281" s="13">
        <v>16</v>
      </c>
      <c r="K281" s="13">
        <v>0</v>
      </c>
      <c r="L281" s="13">
        <v>2</v>
      </c>
      <c r="M281" s="13"/>
      <c r="N281" s="13"/>
      <c r="O281" s="13"/>
      <c r="P281" s="13"/>
      <c r="Q281" s="13"/>
      <c r="R281" s="13" t="s">
        <v>8</v>
      </c>
      <c r="S281" s="13" t="s">
        <v>13</v>
      </c>
    </row>
    <row r="283" spans="2:19">
      <c r="B283" s="108" t="s">
        <v>286</v>
      </c>
    </row>
    <row r="284" spans="2:19">
      <c r="B284" s="13" t="s">
        <v>26</v>
      </c>
      <c r="C284" s="13" t="s">
        <v>27</v>
      </c>
      <c r="D284" s="13" t="s">
        <v>28</v>
      </c>
      <c r="E284" s="13" t="s">
        <v>29</v>
      </c>
      <c r="F284" s="13" t="s">
        <v>31</v>
      </c>
      <c r="G284" s="13" t="s">
        <v>30</v>
      </c>
      <c r="H284" s="13" t="s">
        <v>179</v>
      </c>
      <c r="I284" s="13" t="s">
        <v>180</v>
      </c>
      <c r="J284" s="13" t="s">
        <v>181</v>
      </c>
      <c r="K284" s="13" t="s">
        <v>182</v>
      </c>
      <c r="L284" s="13" t="s">
        <v>183</v>
      </c>
      <c r="M284" s="13" t="s">
        <v>184</v>
      </c>
      <c r="N284" s="13" t="s">
        <v>185</v>
      </c>
      <c r="O284" s="13" t="s">
        <v>186</v>
      </c>
      <c r="P284" s="13" t="s">
        <v>187</v>
      </c>
      <c r="Q284" s="13" t="s">
        <v>188</v>
      </c>
      <c r="R284" s="13" t="s">
        <v>189</v>
      </c>
      <c r="S284" s="13" t="s">
        <v>190</v>
      </c>
    </row>
    <row r="285" spans="2:19">
      <c r="B285" s="13"/>
      <c r="C285" s="14">
        <v>260177</v>
      </c>
      <c r="D285" s="13" t="s">
        <v>211</v>
      </c>
      <c r="E285" s="13" t="s">
        <v>212</v>
      </c>
      <c r="F285" s="13"/>
      <c r="G285" s="13" t="s">
        <v>81</v>
      </c>
      <c r="H285" s="13" t="s">
        <v>12</v>
      </c>
      <c r="I285" s="13">
        <v>3</v>
      </c>
      <c r="J285" s="13">
        <v>6</v>
      </c>
      <c r="K285" s="13">
        <v>0</v>
      </c>
      <c r="L285" s="13">
        <v>2</v>
      </c>
      <c r="M285" s="13"/>
      <c r="N285" s="13"/>
      <c r="O285" s="13"/>
      <c r="P285" s="13"/>
      <c r="Q285" s="13"/>
      <c r="R285" s="13" t="s">
        <v>8</v>
      </c>
      <c r="S285" s="13" t="s">
        <v>13</v>
      </c>
    </row>
    <row r="286" spans="2:19">
      <c r="B286" s="13"/>
      <c r="C286" s="14">
        <v>260177</v>
      </c>
      <c r="D286" s="13" t="s">
        <v>211</v>
      </c>
      <c r="E286" s="13" t="s">
        <v>325</v>
      </c>
      <c r="F286" s="13"/>
      <c r="G286" s="13" t="s">
        <v>81</v>
      </c>
      <c r="H286" s="13" t="s">
        <v>12</v>
      </c>
      <c r="I286" s="13">
        <v>5</v>
      </c>
      <c r="J286" s="13">
        <v>4</v>
      </c>
      <c r="K286" s="13">
        <v>1</v>
      </c>
      <c r="L286" s="13">
        <v>2</v>
      </c>
      <c r="M286" s="13"/>
      <c r="N286" s="13"/>
      <c r="O286" s="13"/>
      <c r="P286" s="13"/>
      <c r="Q286" s="13"/>
      <c r="R286" s="13" t="s">
        <v>8</v>
      </c>
      <c r="S286" s="13" t="s">
        <v>13</v>
      </c>
    </row>
    <row r="287" spans="2:19">
      <c r="B287" s="13"/>
      <c r="C287" s="14">
        <v>251892</v>
      </c>
      <c r="D287" s="13" t="s">
        <v>211</v>
      </c>
      <c r="E287" s="13" t="s">
        <v>326</v>
      </c>
      <c r="F287" s="13"/>
      <c r="G287" s="13" t="s">
        <v>81</v>
      </c>
      <c r="H287" s="13" t="s">
        <v>16</v>
      </c>
      <c r="I287" s="13">
        <v>2</v>
      </c>
      <c r="J287" s="13">
        <v>2</v>
      </c>
      <c r="K287" s="13">
        <v>0</v>
      </c>
      <c r="L287" s="13">
        <v>2</v>
      </c>
      <c r="M287" s="13"/>
      <c r="N287" s="13"/>
      <c r="O287" s="13"/>
      <c r="P287" s="13"/>
      <c r="Q287" s="13" t="s">
        <v>82</v>
      </c>
      <c r="R287" s="13" t="s">
        <v>8</v>
      </c>
      <c r="S287" s="13" t="s">
        <v>13</v>
      </c>
    </row>
    <row r="288" spans="2:19">
      <c r="B288" s="13"/>
      <c r="C288" s="14">
        <v>251892</v>
      </c>
      <c r="D288" s="13" t="s">
        <v>211</v>
      </c>
      <c r="E288" s="13" t="s">
        <v>213</v>
      </c>
      <c r="F288" s="13"/>
      <c r="G288" s="13" t="s">
        <v>81</v>
      </c>
      <c r="H288" s="13" t="s">
        <v>23</v>
      </c>
      <c r="I288" s="13">
        <v>4</v>
      </c>
      <c r="J288" s="13">
        <v>13.67</v>
      </c>
      <c r="K288" s="13">
        <v>0</v>
      </c>
      <c r="L288" s="13">
        <v>2</v>
      </c>
      <c r="M288" s="13"/>
      <c r="N288" s="13"/>
      <c r="O288" s="13"/>
      <c r="P288" s="13"/>
      <c r="Q288" s="13"/>
      <c r="R288" s="13" t="s">
        <v>9</v>
      </c>
      <c r="S288" s="13" t="s">
        <v>9</v>
      </c>
    </row>
    <row r="289" spans="2:19">
      <c r="B289" s="13"/>
      <c r="C289" s="14">
        <v>233816</v>
      </c>
      <c r="D289" s="13" t="s">
        <v>211</v>
      </c>
      <c r="E289" s="13" t="s">
        <v>327</v>
      </c>
      <c r="F289" s="13"/>
      <c r="G289" s="13" t="s">
        <v>81</v>
      </c>
      <c r="H289" s="13" t="s">
        <v>23</v>
      </c>
      <c r="I289" s="13">
        <v>4</v>
      </c>
      <c r="J289" s="13">
        <v>2.5</v>
      </c>
      <c r="K289" s="13">
        <v>0</v>
      </c>
      <c r="L289" s="13">
        <v>2</v>
      </c>
      <c r="M289" s="13"/>
      <c r="N289" s="13"/>
      <c r="O289" s="13"/>
      <c r="P289" s="13"/>
      <c r="Q289" s="13"/>
      <c r="R289" s="13" t="s">
        <v>9</v>
      </c>
      <c r="S289" s="13" t="s">
        <v>9</v>
      </c>
    </row>
    <row r="290" spans="2:19">
      <c r="B290" s="13"/>
      <c r="C290" s="14">
        <v>233934</v>
      </c>
      <c r="D290" s="13" t="s">
        <v>211</v>
      </c>
      <c r="E290" s="13" t="s">
        <v>214</v>
      </c>
      <c r="F290" s="13"/>
      <c r="G290" s="13" t="s">
        <v>81</v>
      </c>
      <c r="H290" s="13" t="s">
        <v>16</v>
      </c>
      <c r="I290" s="13">
        <v>3</v>
      </c>
      <c r="J290" s="13">
        <v>3</v>
      </c>
      <c r="K290" s="13">
        <v>0</v>
      </c>
      <c r="L290" s="13">
        <v>2</v>
      </c>
      <c r="M290" s="13"/>
      <c r="N290" s="13"/>
      <c r="O290" s="13"/>
      <c r="P290" s="13"/>
      <c r="Q290" s="13"/>
      <c r="R290" s="13" t="s">
        <v>8</v>
      </c>
      <c r="S290" s="13" t="s">
        <v>13</v>
      </c>
    </row>
    <row r="291" spans="2:19">
      <c r="B291" s="13"/>
      <c r="C291" s="14">
        <v>255495</v>
      </c>
      <c r="D291" s="13" t="s">
        <v>211</v>
      </c>
      <c r="E291" s="13" t="s">
        <v>215</v>
      </c>
      <c r="F291" s="13"/>
      <c r="G291" s="13" t="s">
        <v>81</v>
      </c>
      <c r="H291" s="13" t="s">
        <v>16</v>
      </c>
      <c r="I291" s="13">
        <v>4</v>
      </c>
      <c r="J291" s="13">
        <v>4</v>
      </c>
      <c r="K291" s="13">
        <v>0</v>
      </c>
      <c r="L291" s="13">
        <v>2</v>
      </c>
      <c r="M291" s="13"/>
      <c r="N291" s="13"/>
      <c r="O291" s="13"/>
      <c r="P291" s="13"/>
      <c r="Q291" s="13"/>
      <c r="R291" s="13" t="s">
        <v>8</v>
      </c>
      <c r="S291" s="13" t="s">
        <v>13</v>
      </c>
    </row>
    <row r="292" spans="2:19">
      <c r="B292" s="13"/>
      <c r="C292" s="14">
        <v>255495</v>
      </c>
      <c r="D292" s="13" t="s">
        <v>211</v>
      </c>
      <c r="E292" s="13" t="s">
        <v>328</v>
      </c>
      <c r="F292" s="13"/>
      <c r="G292" s="13" t="s">
        <v>42</v>
      </c>
      <c r="H292" s="13" t="s">
        <v>217</v>
      </c>
      <c r="I292" s="13">
        <v>5</v>
      </c>
      <c r="J292" s="13">
        <v>4.4000000000000004</v>
      </c>
      <c r="K292" s="13">
        <v>0.6</v>
      </c>
      <c r="L292" s="13">
        <v>2</v>
      </c>
      <c r="M292" s="13"/>
      <c r="N292" s="13"/>
      <c r="O292" s="13"/>
      <c r="P292" s="13"/>
      <c r="Q292" s="13"/>
      <c r="R292" s="13" t="s">
        <v>9</v>
      </c>
      <c r="S292" s="13" t="s">
        <v>9</v>
      </c>
    </row>
    <row r="293" spans="2:19">
      <c r="B293" s="13"/>
      <c r="C293" s="14">
        <v>250832</v>
      </c>
      <c r="D293" s="13" t="s">
        <v>211</v>
      </c>
      <c r="E293" s="13" t="s">
        <v>216</v>
      </c>
      <c r="F293" s="13"/>
      <c r="G293" s="13" t="s">
        <v>35</v>
      </c>
      <c r="H293" s="13" t="s">
        <v>23</v>
      </c>
      <c r="I293" s="13">
        <v>5</v>
      </c>
      <c r="J293" s="13">
        <v>5</v>
      </c>
      <c r="K293" s="13">
        <v>0</v>
      </c>
      <c r="L293" s="13">
        <v>2</v>
      </c>
      <c r="M293" s="13"/>
      <c r="N293" s="13"/>
      <c r="O293" s="13"/>
      <c r="P293" s="13"/>
      <c r="Q293" s="13"/>
      <c r="R293" s="13" t="s">
        <v>9</v>
      </c>
      <c r="S293" s="13" t="s">
        <v>9</v>
      </c>
    </row>
    <row r="294" spans="2:19">
      <c r="B294" s="13"/>
      <c r="C294" s="14">
        <v>250832</v>
      </c>
      <c r="D294" s="13" t="s">
        <v>211</v>
      </c>
      <c r="E294" s="13" t="s">
        <v>218</v>
      </c>
      <c r="F294" s="13"/>
      <c r="G294" s="13" t="s">
        <v>81</v>
      </c>
      <c r="H294" s="13" t="s">
        <v>217</v>
      </c>
      <c r="I294" s="13">
        <v>3</v>
      </c>
      <c r="J294" s="13">
        <v>7.67</v>
      </c>
      <c r="K294" s="13">
        <v>0</v>
      </c>
      <c r="L294" s="13">
        <v>2</v>
      </c>
      <c r="M294" s="13"/>
      <c r="N294" s="13"/>
      <c r="O294" s="13"/>
      <c r="P294" s="13"/>
      <c r="Q294" s="13"/>
      <c r="R294" s="13" t="s">
        <v>9</v>
      </c>
      <c r="S294" s="13" t="s">
        <v>9</v>
      </c>
    </row>
    <row r="295" spans="2:19">
      <c r="B295" s="13"/>
      <c r="C295" s="14">
        <v>250832</v>
      </c>
      <c r="D295" s="13" t="s">
        <v>211</v>
      </c>
      <c r="E295" s="13" t="s">
        <v>219</v>
      </c>
      <c r="F295" s="13"/>
      <c r="G295" s="13" t="s">
        <v>81</v>
      </c>
      <c r="H295" s="13" t="s">
        <v>217</v>
      </c>
      <c r="I295" s="13">
        <v>5</v>
      </c>
      <c r="J295" s="13">
        <v>16.34</v>
      </c>
      <c r="K295" s="13">
        <v>0</v>
      </c>
      <c r="L295" s="13">
        <v>2</v>
      </c>
      <c r="M295" s="13"/>
      <c r="N295" s="13"/>
      <c r="O295" s="13"/>
      <c r="P295" s="13"/>
      <c r="Q295" s="13"/>
      <c r="R295" s="13" t="s">
        <v>9</v>
      </c>
      <c r="S295" s="13" t="s">
        <v>9</v>
      </c>
    </row>
    <row r="296" spans="2:19">
      <c r="B296" s="13"/>
      <c r="C296" s="14">
        <v>250832</v>
      </c>
      <c r="D296" s="13" t="s">
        <v>211</v>
      </c>
      <c r="E296" s="13" t="s">
        <v>221</v>
      </c>
      <c r="F296" s="13"/>
      <c r="G296" s="13" t="s">
        <v>81</v>
      </c>
      <c r="H296" s="13" t="s">
        <v>217</v>
      </c>
      <c r="I296" s="13">
        <v>3</v>
      </c>
      <c r="J296" s="13">
        <v>3.5</v>
      </c>
      <c r="K296" s="13">
        <v>0</v>
      </c>
      <c r="L296" s="13">
        <v>2</v>
      </c>
      <c r="M296" s="13"/>
      <c r="N296" s="13"/>
      <c r="O296" s="13"/>
      <c r="P296" s="13"/>
      <c r="Q296" s="13"/>
      <c r="R296" s="13" t="s">
        <v>9</v>
      </c>
      <c r="S296" s="13" t="s">
        <v>9</v>
      </c>
    </row>
    <row r="297" spans="2:19">
      <c r="B297" s="13"/>
      <c r="C297" s="14">
        <v>250832</v>
      </c>
      <c r="D297" s="13" t="s">
        <v>211</v>
      </c>
      <c r="E297" s="13" t="s">
        <v>222</v>
      </c>
      <c r="F297" s="13"/>
      <c r="G297" s="13" t="s">
        <v>81</v>
      </c>
      <c r="H297" s="13" t="s">
        <v>217</v>
      </c>
      <c r="I297" s="13">
        <v>2</v>
      </c>
      <c r="J297" s="13">
        <v>14.5</v>
      </c>
      <c r="K297" s="13">
        <v>0</v>
      </c>
      <c r="L297" s="13">
        <v>2</v>
      </c>
      <c r="M297" s="13"/>
      <c r="N297" s="13"/>
      <c r="O297" s="13"/>
      <c r="P297" s="13"/>
      <c r="Q297" s="13"/>
      <c r="R297" s="13" t="s">
        <v>9</v>
      </c>
      <c r="S297" s="13" t="s">
        <v>9</v>
      </c>
    </row>
    <row r="298" spans="2:19">
      <c r="B298" s="13"/>
      <c r="C298" s="14">
        <v>250832</v>
      </c>
      <c r="D298" s="13" t="s">
        <v>211</v>
      </c>
      <c r="E298" s="13" t="s">
        <v>223</v>
      </c>
      <c r="F298" s="13"/>
      <c r="G298" s="13" t="s">
        <v>81</v>
      </c>
      <c r="H298" s="13" t="s">
        <v>217</v>
      </c>
      <c r="I298" s="13">
        <v>3</v>
      </c>
      <c r="J298" s="13">
        <v>3.92</v>
      </c>
      <c r="K298" s="13">
        <v>0</v>
      </c>
      <c r="L298" s="13">
        <v>2</v>
      </c>
      <c r="M298" s="13"/>
      <c r="N298" s="13"/>
      <c r="O298" s="13"/>
      <c r="P298" s="13"/>
      <c r="Q298" s="13"/>
      <c r="R298" s="13" t="s">
        <v>9</v>
      </c>
      <c r="S298" s="13" t="s">
        <v>9</v>
      </c>
    </row>
    <row r="299" spans="2:19">
      <c r="B299" s="13"/>
      <c r="C299" s="14">
        <v>250832</v>
      </c>
      <c r="D299" s="13" t="s">
        <v>211</v>
      </c>
      <c r="E299" s="13" t="s">
        <v>224</v>
      </c>
      <c r="F299" s="13"/>
      <c r="G299" s="13" t="s">
        <v>81</v>
      </c>
      <c r="H299" s="13" t="s">
        <v>217</v>
      </c>
      <c r="I299" s="13">
        <v>6</v>
      </c>
      <c r="J299" s="13">
        <v>7.07</v>
      </c>
      <c r="K299" s="13">
        <v>0</v>
      </c>
      <c r="L299" s="13">
        <v>2</v>
      </c>
      <c r="M299" s="13"/>
      <c r="N299" s="13"/>
      <c r="O299" s="13"/>
      <c r="P299" s="13"/>
      <c r="Q299" s="13"/>
      <c r="R299" s="13" t="s">
        <v>9</v>
      </c>
      <c r="S299" s="13" t="s">
        <v>9</v>
      </c>
    </row>
    <row r="300" spans="2:19">
      <c r="B300" s="13"/>
      <c r="C300" s="14">
        <v>250832</v>
      </c>
      <c r="D300" s="13" t="s">
        <v>211</v>
      </c>
      <c r="E300" s="13" t="s">
        <v>225</v>
      </c>
      <c r="F300" s="13"/>
      <c r="G300" s="13" t="s">
        <v>81</v>
      </c>
      <c r="H300" s="13" t="s">
        <v>217</v>
      </c>
      <c r="I300" s="13">
        <v>4</v>
      </c>
      <c r="J300" s="13">
        <v>6</v>
      </c>
      <c r="K300" s="13">
        <v>0</v>
      </c>
      <c r="L300" s="13">
        <v>2</v>
      </c>
      <c r="M300" s="13"/>
      <c r="N300" s="13"/>
      <c r="O300" s="13"/>
      <c r="P300" s="13"/>
      <c r="Q300" s="13"/>
      <c r="R300" s="13" t="s">
        <v>226</v>
      </c>
      <c r="S300" s="13" t="s">
        <v>9</v>
      </c>
    </row>
    <row r="301" spans="2:19">
      <c r="B301" s="13"/>
      <c r="C301" s="14">
        <v>250832</v>
      </c>
      <c r="D301" s="13" t="s">
        <v>211</v>
      </c>
      <c r="E301" s="13" t="s">
        <v>227</v>
      </c>
      <c r="F301" s="13"/>
      <c r="G301" s="13" t="s">
        <v>81</v>
      </c>
      <c r="H301" s="13" t="s">
        <v>217</v>
      </c>
      <c r="I301" s="13">
        <v>5</v>
      </c>
      <c r="J301" s="13">
        <v>10.5</v>
      </c>
      <c r="K301" s="13">
        <v>0</v>
      </c>
      <c r="L301" s="13">
        <v>2</v>
      </c>
      <c r="M301" s="13"/>
      <c r="N301" s="13"/>
      <c r="O301" s="13"/>
      <c r="P301" s="13"/>
      <c r="Q301" s="13"/>
      <c r="R301" s="13" t="s">
        <v>9</v>
      </c>
      <c r="S301" s="13" t="s">
        <v>9</v>
      </c>
    </row>
    <row r="302" spans="2:19">
      <c r="B302" s="13"/>
      <c r="C302" s="14">
        <v>250832</v>
      </c>
      <c r="D302" s="13" t="s">
        <v>211</v>
      </c>
      <c r="E302" s="13" t="s">
        <v>329</v>
      </c>
      <c r="F302" s="13"/>
      <c r="G302" s="13" t="s">
        <v>81</v>
      </c>
      <c r="H302" s="13" t="s">
        <v>217</v>
      </c>
      <c r="I302" s="13">
        <v>3</v>
      </c>
      <c r="J302" s="13">
        <v>4.5</v>
      </c>
      <c r="K302" s="13">
        <v>0</v>
      </c>
      <c r="L302" s="13">
        <v>2</v>
      </c>
      <c r="M302" s="13"/>
      <c r="N302" s="13"/>
      <c r="O302" s="13"/>
      <c r="P302" s="13"/>
      <c r="Q302" s="13"/>
      <c r="R302" s="13" t="s">
        <v>226</v>
      </c>
      <c r="S302" s="13" t="s">
        <v>9</v>
      </c>
    </row>
    <row r="303" spans="2:19">
      <c r="B303" s="13"/>
      <c r="C303" s="14">
        <v>250832</v>
      </c>
      <c r="D303" s="13" t="s">
        <v>211</v>
      </c>
      <c r="E303" s="13" t="s">
        <v>330</v>
      </c>
      <c r="F303" s="13"/>
      <c r="G303" s="13" t="s">
        <v>35</v>
      </c>
      <c r="H303" s="13" t="s">
        <v>217</v>
      </c>
      <c r="I303" s="13">
        <v>7</v>
      </c>
      <c r="J303" s="13">
        <v>17</v>
      </c>
      <c r="K303" s="13">
        <v>0</v>
      </c>
      <c r="L303" s="13">
        <v>2</v>
      </c>
      <c r="M303" s="13"/>
      <c r="N303" s="13"/>
      <c r="O303" s="13"/>
      <c r="P303" s="13"/>
      <c r="Q303" s="13"/>
      <c r="R303" s="13" t="s">
        <v>9</v>
      </c>
      <c r="S303" s="13" t="s">
        <v>9</v>
      </c>
    </row>
    <row r="304" spans="2:19">
      <c r="B304" s="13"/>
      <c r="C304" s="14">
        <v>250832</v>
      </c>
      <c r="D304" s="13" t="s">
        <v>211</v>
      </c>
      <c r="E304" s="13" t="s">
        <v>331</v>
      </c>
      <c r="F304" s="13"/>
      <c r="G304" s="13" t="s">
        <v>81</v>
      </c>
      <c r="H304" s="13" t="s">
        <v>217</v>
      </c>
      <c r="I304" s="13">
        <v>4</v>
      </c>
      <c r="J304" s="13">
        <v>2</v>
      </c>
      <c r="K304" s="13">
        <v>2</v>
      </c>
      <c r="L304" s="13">
        <v>2</v>
      </c>
      <c r="M304" s="13"/>
      <c r="N304" s="13"/>
      <c r="O304" s="13"/>
      <c r="P304" s="13"/>
      <c r="Q304" s="13"/>
      <c r="R304" s="13" t="s">
        <v>226</v>
      </c>
      <c r="S304" s="13" t="s">
        <v>9</v>
      </c>
    </row>
    <row r="305" spans="2:19">
      <c r="B305" s="13"/>
      <c r="C305" s="14">
        <v>250832</v>
      </c>
      <c r="D305" s="13" t="s">
        <v>211</v>
      </c>
      <c r="E305" s="13" t="s">
        <v>332</v>
      </c>
      <c r="F305" s="13"/>
      <c r="G305" s="13" t="s">
        <v>81</v>
      </c>
      <c r="H305" s="13" t="s">
        <v>217</v>
      </c>
      <c r="I305" s="13">
        <v>3</v>
      </c>
      <c r="J305" s="13">
        <v>1.5</v>
      </c>
      <c r="K305" s="13">
        <v>1.5</v>
      </c>
      <c r="L305" s="13">
        <v>2</v>
      </c>
      <c r="M305" s="13"/>
      <c r="N305" s="13"/>
      <c r="O305" s="13"/>
      <c r="P305" s="13"/>
      <c r="Q305" s="13"/>
      <c r="R305" s="13" t="s">
        <v>9</v>
      </c>
      <c r="S305" s="13" t="s">
        <v>9</v>
      </c>
    </row>
    <row r="306" spans="2:19">
      <c r="B306" s="13"/>
      <c r="C306" s="14">
        <v>250832</v>
      </c>
      <c r="D306" s="13" t="s">
        <v>211</v>
      </c>
      <c r="E306" s="13" t="s">
        <v>228</v>
      </c>
      <c r="F306" s="13"/>
      <c r="G306" s="13" t="s">
        <v>35</v>
      </c>
      <c r="H306" s="13" t="s">
        <v>217</v>
      </c>
      <c r="I306" s="13">
        <v>2</v>
      </c>
      <c r="J306" s="13">
        <v>1.85</v>
      </c>
      <c r="K306" s="13">
        <v>0.15</v>
      </c>
      <c r="L306" s="13">
        <v>2</v>
      </c>
      <c r="M306" s="13"/>
      <c r="N306" s="13"/>
      <c r="O306" s="13"/>
      <c r="P306" s="13"/>
      <c r="Q306" s="13"/>
      <c r="R306" s="13" t="s">
        <v>9</v>
      </c>
      <c r="S306" s="13" t="s">
        <v>9</v>
      </c>
    </row>
    <row r="307" spans="2:19">
      <c r="B307" s="13"/>
      <c r="C307" s="14">
        <v>250832</v>
      </c>
      <c r="D307" s="13" t="s">
        <v>211</v>
      </c>
      <c r="E307" s="13" t="s">
        <v>333</v>
      </c>
      <c r="F307" s="13"/>
      <c r="G307" s="13" t="s">
        <v>77</v>
      </c>
      <c r="H307" s="13" t="s">
        <v>217</v>
      </c>
      <c r="I307" s="13">
        <v>1</v>
      </c>
      <c r="J307" s="13">
        <v>0</v>
      </c>
      <c r="K307" s="13">
        <v>1</v>
      </c>
      <c r="L307" s="13">
        <v>2</v>
      </c>
      <c r="M307" s="13"/>
      <c r="N307" s="13"/>
      <c r="O307" s="13"/>
      <c r="P307" s="13"/>
      <c r="Q307" s="13"/>
      <c r="R307" s="13" t="s">
        <v>9</v>
      </c>
      <c r="S307" s="13" t="s">
        <v>9</v>
      </c>
    </row>
    <row r="308" spans="2:19">
      <c r="B308" s="13"/>
      <c r="C308" s="14">
        <v>250832</v>
      </c>
      <c r="D308" s="13" t="s">
        <v>211</v>
      </c>
      <c r="E308" s="13" t="s">
        <v>220</v>
      </c>
      <c r="F308" s="13"/>
      <c r="G308" s="13" t="s">
        <v>77</v>
      </c>
      <c r="H308" s="13" t="s">
        <v>217</v>
      </c>
      <c r="I308" s="13">
        <v>1</v>
      </c>
      <c r="J308" s="13">
        <v>0</v>
      </c>
      <c r="K308" s="13">
        <v>1</v>
      </c>
      <c r="L308" s="13">
        <v>2</v>
      </c>
      <c r="M308" s="13"/>
      <c r="N308" s="13"/>
      <c r="O308" s="13"/>
      <c r="P308" s="13"/>
      <c r="Q308" s="13"/>
      <c r="R308" s="13" t="s">
        <v>9</v>
      </c>
      <c r="S308" s="13" t="s">
        <v>9</v>
      </c>
    </row>
    <row r="309" spans="2:19">
      <c r="B309" s="13"/>
      <c r="C309" s="14">
        <v>250832</v>
      </c>
      <c r="D309" s="13" t="s">
        <v>211</v>
      </c>
      <c r="E309" s="13" t="s">
        <v>334</v>
      </c>
      <c r="F309" s="13"/>
      <c r="G309" s="13" t="s">
        <v>77</v>
      </c>
      <c r="H309" s="13" t="s">
        <v>217</v>
      </c>
      <c r="I309" s="13">
        <v>2</v>
      </c>
      <c r="J309" s="13">
        <v>0</v>
      </c>
      <c r="K309" s="13">
        <v>2</v>
      </c>
      <c r="L309" s="13">
        <v>2</v>
      </c>
      <c r="M309" s="13"/>
      <c r="N309" s="13"/>
      <c r="O309" s="13"/>
      <c r="P309" s="13"/>
      <c r="Q309" s="13"/>
      <c r="R309" s="13" t="s">
        <v>9</v>
      </c>
      <c r="S309" s="13" t="s">
        <v>9</v>
      </c>
    </row>
    <row r="310" spans="2:19">
      <c r="B310" s="13"/>
      <c r="C310" s="14">
        <v>250832</v>
      </c>
      <c r="D310" s="13" t="s">
        <v>211</v>
      </c>
      <c r="E310" s="13" t="s">
        <v>335</v>
      </c>
      <c r="F310" s="13"/>
      <c r="G310" s="13" t="s">
        <v>81</v>
      </c>
      <c r="H310" s="13" t="s">
        <v>217</v>
      </c>
      <c r="I310" s="13">
        <v>5</v>
      </c>
      <c r="J310" s="13">
        <v>4</v>
      </c>
      <c r="K310" s="13">
        <v>1</v>
      </c>
      <c r="L310" s="13">
        <v>2</v>
      </c>
      <c r="M310" s="13"/>
      <c r="N310" s="13"/>
      <c r="O310" s="13"/>
      <c r="P310" s="13"/>
      <c r="Q310" s="13"/>
      <c r="R310" s="13" t="s">
        <v>9</v>
      </c>
      <c r="S310" s="13" t="s">
        <v>9</v>
      </c>
    </row>
    <row r="311" spans="2:19">
      <c r="B311" s="13"/>
      <c r="C311" s="14">
        <v>250832</v>
      </c>
      <c r="D311" s="13" t="s">
        <v>211</v>
      </c>
      <c r="E311" s="13" t="s">
        <v>230</v>
      </c>
      <c r="F311" s="13"/>
      <c r="G311" s="13" t="s">
        <v>35</v>
      </c>
      <c r="H311" s="13" t="s">
        <v>23</v>
      </c>
      <c r="I311" s="13">
        <v>4</v>
      </c>
      <c r="J311" s="13">
        <v>4</v>
      </c>
      <c r="K311" s="13">
        <v>0</v>
      </c>
      <c r="L311" s="13">
        <v>2</v>
      </c>
      <c r="M311" s="13"/>
      <c r="N311" s="13"/>
      <c r="O311" s="13"/>
      <c r="P311" s="13"/>
      <c r="Q311" s="13"/>
      <c r="R311" s="13" t="s">
        <v>226</v>
      </c>
      <c r="S311" s="13" t="s">
        <v>9</v>
      </c>
    </row>
    <row r="312" spans="2:19">
      <c r="B312" s="13"/>
      <c r="C312" s="14">
        <v>250832</v>
      </c>
      <c r="D312" s="13" t="s">
        <v>211</v>
      </c>
      <c r="E312" s="13" t="s">
        <v>231</v>
      </c>
      <c r="F312" s="13"/>
      <c r="G312" s="13" t="s">
        <v>35</v>
      </c>
      <c r="H312" s="13" t="s">
        <v>23</v>
      </c>
      <c r="I312" s="13">
        <v>5</v>
      </c>
      <c r="J312" s="13">
        <v>4</v>
      </c>
      <c r="K312" s="13">
        <v>1</v>
      </c>
      <c r="L312" s="13">
        <v>2</v>
      </c>
      <c r="M312" s="13"/>
      <c r="N312" s="13"/>
      <c r="O312" s="13"/>
      <c r="P312" s="13"/>
      <c r="Q312" s="13"/>
      <c r="R312" s="13" t="s">
        <v>9</v>
      </c>
      <c r="S312" s="13" t="s">
        <v>9</v>
      </c>
    </row>
    <row r="313" spans="2:19">
      <c r="B313" s="13"/>
      <c r="C313" s="14">
        <v>250832</v>
      </c>
      <c r="D313" s="13" t="s">
        <v>211</v>
      </c>
      <c r="E313" s="13" t="s">
        <v>229</v>
      </c>
      <c r="F313" s="13"/>
      <c r="G313" s="13" t="s">
        <v>35</v>
      </c>
      <c r="H313" s="13" t="s">
        <v>23</v>
      </c>
      <c r="I313" s="13">
        <v>7</v>
      </c>
      <c r="J313" s="13">
        <v>10.58</v>
      </c>
      <c r="K313" s="13">
        <v>0</v>
      </c>
      <c r="L313" s="13">
        <v>2</v>
      </c>
      <c r="M313" s="13"/>
      <c r="N313" s="13"/>
      <c r="O313" s="13"/>
      <c r="P313" s="13"/>
      <c r="Q313" s="13"/>
      <c r="R313" s="13" t="s">
        <v>226</v>
      </c>
      <c r="S313" s="13" t="s">
        <v>9</v>
      </c>
    </row>
    <row r="314" spans="2:19">
      <c r="B314" s="13"/>
      <c r="C314" s="14">
        <v>250832</v>
      </c>
      <c r="D314" s="13" t="s">
        <v>211</v>
      </c>
      <c r="E314" s="13" t="s">
        <v>336</v>
      </c>
      <c r="F314" s="13"/>
      <c r="G314" s="13" t="s">
        <v>35</v>
      </c>
      <c r="H314" s="13" t="s">
        <v>23</v>
      </c>
      <c r="I314" s="13">
        <v>2</v>
      </c>
      <c r="J314" s="13">
        <v>2</v>
      </c>
      <c r="K314" s="13">
        <v>0</v>
      </c>
      <c r="L314" s="13">
        <v>2</v>
      </c>
      <c r="M314" s="13"/>
      <c r="N314" s="13"/>
      <c r="O314" s="13"/>
      <c r="P314" s="13"/>
      <c r="Q314" s="13"/>
      <c r="R314" s="13" t="s">
        <v>226</v>
      </c>
      <c r="S314" s="13" t="s">
        <v>9</v>
      </c>
    </row>
    <row r="315" spans="2:19">
      <c r="B315" s="13"/>
      <c r="C315" s="14">
        <v>250832</v>
      </c>
      <c r="D315" s="13" t="s">
        <v>211</v>
      </c>
      <c r="E315" s="13" t="s">
        <v>337</v>
      </c>
      <c r="F315" s="13"/>
      <c r="G315" s="13" t="s">
        <v>35</v>
      </c>
      <c r="H315" s="13" t="s">
        <v>23</v>
      </c>
      <c r="I315" s="13">
        <v>3</v>
      </c>
      <c r="J315" s="13">
        <v>5</v>
      </c>
      <c r="K315" s="13">
        <v>0</v>
      </c>
      <c r="L315" s="13">
        <v>2</v>
      </c>
      <c r="M315" s="13"/>
      <c r="N315" s="13"/>
      <c r="O315" s="13"/>
      <c r="P315" s="13"/>
      <c r="Q315" s="13"/>
      <c r="R315" s="13" t="s">
        <v>9</v>
      </c>
      <c r="S315" s="13" t="s">
        <v>9</v>
      </c>
    </row>
    <row r="316" spans="2:19">
      <c r="B316" s="13"/>
      <c r="C316" s="14">
        <v>250832</v>
      </c>
      <c r="D316" s="13" t="s">
        <v>211</v>
      </c>
      <c r="E316" s="13" t="s">
        <v>338</v>
      </c>
      <c r="F316" s="13"/>
      <c r="G316" s="13" t="s">
        <v>35</v>
      </c>
      <c r="H316" s="13" t="s">
        <v>23</v>
      </c>
      <c r="I316" s="13">
        <v>2</v>
      </c>
      <c r="J316" s="13">
        <v>3.27</v>
      </c>
      <c r="K316" s="13">
        <v>0</v>
      </c>
      <c r="L316" s="13">
        <v>2</v>
      </c>
      <c r="M316" s="13"/>
      <c r="N316" s="13"/>
      <c r="O316" s="13"/>
      <c r="P316" s="13"/>
      <c r="Q316" s="13"/>
      <c r="R316" s="13" t="s">
        <v>9</v>
      </c>
      <c r="S316" s="13" t="s">
        <v>9</v>
      </c>
    </row>
    <row r="317" spans="2:19">
      <c r="B317" s="13"/>
      <c r="C317" s="14">
        <v>250832</v>
      </c>
      <c r="D317" s="13" t="s">
        <v>211</v>
      </c>
      <c r="E317" s="13" t="s">
        <v>339</v>
      </c>
      <c r="F317" s="13"/>
      <c r="G317" s="13" t="s">
        <v>35</v>
      </c>
      <c r="H317" s="13" t="s">
        <v>23</v>
      </c>
      <c r="I317" s="13">
        <v>3</v>
      </c>
      <c r="J317" s="13">
        <v>4.25</v>
      </c>
      <c r="K317" s="13">
        <v>0</v>
      </c>
      <c r="L317" s="13">
        <v>2</v>
      </c>
      <c r="M317" s="13"/>
      <c r="N317" s="13"/>
      <c r="O317" s="13"/>
      <c r="P317" s="13"/>
      <c r="Q317" s="13"/>
      <c r="R317" s="13" t="s">
        <v>226</v>
      </c>
      <c r="S317" s="13" t="s">
        <v>9</v>
      </c>
    </row>
    <row r="318" spans="2:19">
      <c r="B318" s="13"/>
      <c r="C318" s="14">
        <v>242628</v>
      </c>
      <c r="D318" s="13" t="s">
        <v>232</v>
      </c>
      <c r="E318" s="13" t="s">
        <v>234</v>
      </c>
      <c r="F318" s="13"/>
      <c r="G318" s="13" t="s">
        <v>233</v>
      </c>
      <c r="H318" s="13" t="s">
        <v>14</v>
      </c>
      <c r="I318" s="13">
        <v>0</v>
      </c>
      <c r="J318" s="13">
        <v>0.5</v>
      </c>
      <c r="K318" s="13">
        <v>0</v>
      </c>
      <c r="L318" s="13">
        <v>3</v>
      </c>
      <c r="M318" s="13" t="s">
        <v>236</v>
      </c>
      <c r="N318" s="13"/>
      <c r="O318" s="13"/>
      <c r="P318" s="13"/>
      <c r="Q318" s="13"/>
      <c r="R318" s="13"/>
      <c r="S318" s="13" t="s">
        <v>13</v>
      </c>
    </row>
    <row r="319" spans="2:19">
      <c r="B319" s="13"/>
      <c r="C319" s="14">
        <v>242628</v>
      </c>
      <c r="D319" s="13" t="s">
        <v>232</v>
      </c>
      <c r="E319" s="13" t="s">
        <v>237</v>
      </c>
      <c r="F319" s="13"/>
      <c r="G319" s="13" t="s">
        <v>233</v>
      </c>
      <c r="H319" s="13" t="s">
        <v>14</v>
      </c>
      <c r="I319" s="13">
        <v>0</v>
      </c>
      <c r="J319" s="13">
        <v>0</v>
      </c>
      <c r="K319" s="13">
        <v>0</v>
      </c>
      <c r="L319" s="13">
        <v>3</v>
      </c>
      <c r="M319" s="13" t="s">
        <v>236</v>
      </c>
      <c r="N319" s="13"/>
      <c r="O319" s="13"/>
      <c r="P319" s="13"/>
      <c r="Q319" s="13"/>
      <c r="R319" s="13"/>
      <c r="S319" s="13" t="s">
        <v>13</v>
      </c>
    </row>
    <row r="320" spans="2:19">
      <c r="B320" s="13"/>
      <c r="C320" s="14">
        <v>242628</v>
      </c>
      <c r="D320" s="13" t="s">
        <v>232</v>
      </c>
      <c r="E320" s="13" t="s">
        <v>238</v>
      </c>
      <c r="F320" s="13"/>
      <c r="G320" s="13" t="s">
        <v>233</v>
      </c>
      <c r="H320" s="13" t="s">
        <v>14</v>
      </c>
      <c r="I320" s="13">
        <v>0</v>
      </c>
      <c r="J320" s="13">
        <v>0</v>
      </c>
      <c r="K320" s="13">
        <v>0</v>
      </c>
      <c r="L320" s="13">
        <v>3</v>
      </c>
      <c r="M320" s="13" t="s">
        <v>236</v>
      </c>
      <c r="N320" s="13"/>
      <c r="O320" s="13"/>
      <c r="P320" s="13"/>
      <c r="Q320" s="13"/>
      <c r="R320" s="13"/>
      <c r="S320" s="13" t="s">
        <v>13</v>
      </c>
    </row>
    <row r="321" spans="2:19">
      <c r="B321" s="13"/>
      <c r="C321" s="14">
        <v>242628</v>
      </c>
      <c r="D321" s="13" t="s">
        <v>232</v>
      </c>
      <c r="E321" s="13" t="s">
        <v>239</v>
      </c>
      <c r="F321" s="13"/>
      <c r="G321" s="13" t="s">
        <v>233</v>
      </c>
      <c r="H321" s="13" t="s">
        <v>14</v>
      </c>
      <c r="I321" s="13">
        <v>0</v>
      </c>
      <c r="J321" s="13">
        <v>0</v>
      </c>
      <c r="K321" s="13">
        <v>0</v>
      </c>
      <c r="L321" s="13">
        <v>3</v>
      </c>
      <c r="M321" s="13" t="s">
        <v>240</v>
      </c>
      <c r="N321" s="13"/>
      <c r="O321" s="13"/>
      <c r="P321" s="13"/>
      <c r="Q321" s="13"/>
      <c r="R321" s="13"/>
      <c r="S321" s="13" t="s">
        <v>13</v>
      </c>
    </row>
    <row r="322" spans="2:19">
      <c r="B322" s="13"/>
      <c r="C322" s="14">
        <v>242628</v>
      </c>
      <c r="D322" s="13" t="s">
        <v>211</v>
      </c>
      <c r="E322" s="13" t="s">
        <v>241</v>
      </c>
      <c r="F322" s="13"/>
      <c r="G322" s="13" t="s">
        <v>81</v>
      </c>
      <c r="H322" s="13" t="s">
        <v>12</v>
      </c>
      <c r="I322" s="13">
        <v>4</v>
      </c>
      <c r="J322" s="13">
        <v>4</v>
      </c>
      <c r="K322" s="13">
        <v>0</v>
      </c>
      <c r="L322" s="13">
        <v>2</v>
      </c>
      <c r="M322" s="13"/>
      <c r="N322" s="13"/>
      <c r="O322" s="13"/>
      <c r="P322" s="13"/>
      <c r="Q322" s="13" t="s">
        <v>340</v>
      </c>
      <c r="R322" s="13" t="s">
        <v>8</v>
      </c>
      <c r="S322" s="13" t="s">
        <v>13</v>
      </c>
    </row>
    <row r="323" spans="2:19">
      <c r="B323" s="13"/>
      <c r="C323" s="14">
        <v>242628</v>
      </c>
      <c r="D323" s="13" t="s">
        <v>211</v>
      </c>
      <c r="E323" s="13" t="s">
        <v>242</v>
      </c>
      <c r="F323" s="13"/>
      <c r="G323" s="13" t="s">
        <v>81</v>
      </c>
      <c r="H323" s="13" t="s">
        <v>10</v>
      </c>
      <c r="I323" s="13">
        <v>4</v>
      </c>
      <c r="J323" s="13">
        <v>4</v>
      </c>
      <c r="K323" s="13">
        <v>0</v>
      </c>
      <c r="L323" s="13">
        <v>2</v>
      </c>
      <c r="M323" s="13"/>
      <c r="N323" s="13"/>
      <c r="O323" s="13"/>
      <c r="P323" s="13"/>
      <c r="Q323" s="13" t="s">
        <v>83</v>
      </c>
      <c r="R323" s="13" t="s">
        <v>8</v>
      </c>
      <c r="S323" s="13" t="s">
        <v>13</v>
      </c>
    </row>
    <row r="324" spans="2:19">
      <c r="B324" s="13"/>
      <c r="C324" s="14">
        <v>242628</v>
      </c>
      <c r="D324" s="13" t="s">
        <v>211</v>
      </c>
      <c r="E324" s="13" t="s">
        <v>341</v>
      </c>
      <c r="F324" s="13"/>
      <c r="G324" s="13" t="s">
        <v>81</v>
      </c>
      <c r="H324" s="13" t="s">
        <v>14</v>
      </c>
      <c r="I324" s="13">
        <v>14</v>
      </c>
      <c r="J324" s="13">
        <v>15</v>
      </c>
      <c r="K324" s="13">
        <v>0</v>
      </c>
      <c r="L324" s="13">
        <v>2</v>
      </c>
      <c r="M324" s="13"/>
      <c r="N324" s="13"/>
      <c r="O324" s="13"/>
      <c r="P324" s="13"/>
      <c r="Q324" s="13"/>
      <c r="R324" s="13" t="s">
        <v>277</v>
      </c>
      <c r="S324" s="13" t="s">
        <v>15</v>
      </c>
    </row>
    <row r="325" spans="2:19">
      <c r="B325" s="13"/>
      <c r="C325" s="14">
        <v>247747</v>
      </c>
      <c r="D325" s="13" t="s">
        <v>211</v>
      </c>
      <c r="E325" s="13" t="s">
        <v>243</v>
      </c>
      <c r="F325" s="13"/>
      <c r="G325" s="13" t="s">
        <v>81</v>
      </c>
      <c r="H325" s="13" t="s">
        <v>23</v>
      </c>
      <c r="I325" s="13">
        <v>2</v>
      </c>
      <c r="J325" s="13">
        <v>1.5</v>
      </c>
      <c r="K325" s="13">
        <v>0</v>
      </c>
      <c r="L325" s="13">
        <v>2</v>
      </c>
      <c r="M325" s="13"/>
      <c r="N325" s="13"/>
      <c r="O325" s="13"/>
      <c r="P325" s="13"/>
      <c r="Q325" s="13" t="s">
        <v>83</v>
      </c>
      <c r="R325" s="13" t="s">
        <v>9</v>
      </c>
      <c r="S325" s="13" t="s">
        <v>9</v>
      </c>
    </row>
    <row r="326" spans="2:19">
      <c r="B326" s="13"/>
      <c r="C326" s="14">
        <v>247747</v>
      </c>
      <c r="D326" s="13" t="s">
        <v>232</v>
      </c>
      <c r="E326" s="13" t="s">
        <v>342</v>
      </c>
      <c r="F326" s="13"/>
      <c r="G326" s="13" t="s">
        <v>77</v>
      </c>
      <c r="H326" s="13" t="s">
        <v>21</v>
      </c>
      <c r="I326" s="13">
        <v>0</v>
      </c>
      <c r="J326" s="13">
        <v>0</v>
      </c>
      <c r="K326" s="13">
        <v>0.5</v>
      </c>
      <c r="L326" s="13">
        <v>2</v>
      </c>
      <c r="M326" s="13" t="s">
        <v>236</v>
      </c>
      <c r="N326" s="13"/>
      <c r="O326" s="13"/>
      <c r="P326" s="13"/>
      <c r="Q326" s="13"/>
      <c r="R326" s="13"/>
      <c r="S326" s="13" t="s">
        <v>13</v>
      </c>
    </row>
    <row r="327" spans="2:19">
      <c r="B327" s="13"/>
      <c r="C327" s="14">
        <v>247748</v>
      </c>
      <c r="D327" s="13" t="s">
        <v>211</v>
      </c>
      <c r="E327" s="13" t="s">
        <v>341</v>
      </c>
      <c r="F327" s="13"/>
      <c r="G327" s="13" t="s">
        <v>81</v>
      </c>
      <c r="H327" s="13" t="s">
        <v>14</v>
      </c>
      <c r="I327" s="13">
        <v>14</v>
      </c>
      <c r="J327" s="13">
        <v>15</v>
      </c>
      <c r="K327" s="13">
        <v>0</v>
      </c>
      <c r="L327" s="13">
        <v>2</v>
      </c>
      <c r="M327" s="13"/>
      <c r="N327" s="13"/>
      <c r="O327" s="13"/>
      <c r="P327" s="13"/>
      <c r="Q327" s="13"/>
      <c r="R327" s="13" t="s">
        <v>277</v>
      </c>
      <c r="S327" s="13" t="s">
        <v>15</v>
      </c>
    </row>
    <row r="328" spans="2:19">
      <c r="B328" s="13"/>
      <c r="C328" s="14">
        <v>247748</v>
      </c>
      <c r="D328" s="13" t="s">
        <v>232</v>
      </c>
      <c r="E328" s="13" t="s">
        <v>343</v>
      </c>
      <c r="F328" s="13"/>
      <c r="G328" s="13" t="s">
        <v>235</v>
      </c>
      <c r="H328" s="13" t="s">
        <v>14</v>
      </c>
      <c r="I328" s="13">
        <v>0</v>
      </c>
      <c r="J328" s="13">
        <v>2</v>
      </c>
      <c r="K328" s="13">
        <v>0</v>
      </c>
      <c r="L328" s="13">
        <v>2</v>
      </c>
      <c r="M328" s="13" t="s">
        <v>236</v>
      </c>
      <c r="N328" s="13"/>
      <c r="O328" s="13"/>
      <c r="P328" s="13"/>
      <c r="Q328" s="13"/>
      <c r="R328" s="13"/>
      <c r="S328" s="13" t="s">
        <v>8</v>
      </c>
    </row>
    <row r="329" spans="2:19">
      <c r="B329" s="13"/>
      <c r="C329" s="14">
        <v>244767</v>
      </c>
      <c r="D329" s="13" t="s">
        <v>211</v>
      </c>
      <c r="E329" s="13" t="s">
        <v>244</v>
      </c>
      <c r="F329" s="13"/>
      <c r="G329" s="13" t="s">
        <v>81</v>
      </c>
      <c r="H329" s="13" t="s">
        <v>10</v>
      </c>
      <c r="I329" s="13">
        <v>4</v>
      </c>
      <c r="J329" s="13">
        <v>4</v>
      </c>
      <c r="K329" s="13">
        <v>0</v>
      </c>
      <c r="L329" s="13">
        <v>2</v>
      </c>
      <c r="M329" s="13"/>
      <c r="N329" s="13"/>
      <c r="O329" s="13"/>
      <c r="P329" s="13"/>
      <c r="Q329" s="13"/>
      <c r="R329" s="13" t="s">
        <v>8</v>
      </c>
      <c r="S329" s="13" t="s">
        <v>13</v>
      </c>
    </row>
    <row r="330" spans="2:19">
      <c r="B330" s="13"/>
      <c r="C330" s="14">
        <v>244767</v>
      </c>
      <c r="D330" s="13" t="s">
        <v>211</v>
      </c>
      <c r="E330" s="13" t="s">
        <v>245</v>
      </c>
      <c r="F330" s="13"/>
      <c r="G330" s="13" t="s">
        <v>81</v>
      </c>
      <c r="H330" s="13" t="s">
        <v>10</v>
      </c>
      <c r="I330" s="13">
        <v>5</v>
      </c>
      <c r="J330" s="13">
        <v>5</v>
      </c>
      <c r="K330" s="13">
        <v>0</v>
      </c>
      <c r="L330" s="13">
        <v>2</v>
      </c>
      <c r="M330" s="13"/>
      <c r="N330" s="13"/>
      <c r="O330" s="13"/>
      <c r="P330" s="13"/>
      <c r="Q330" s="13"/>
      <c r="R330" s="13" t="s">
        <v>8</v>
      </c>
      <c r="S330" s="13" t="s">
        <v>13</v>
      </c>
    </row>
    <row r="331" spans="2:19">
      <c r="B331" s="13"/>
      <c r="C331" s="14">
        <v>244767</v>
      </c>
      <c r="D331" s="13" t="s">
        <v>211</v>
      </c>
      <c r="E331" s="13" t="s">
        <v>344</v>
      </c>
      <c r="F331" s="13"/>
      <c r="G331" s="13" t="s">
        <v>81</v>
      </c>
      <c r="H331" s="13" t="s">
        <v>10</v>
      </c>
      <c r="I331" s="13">
        <v>2</v>
      </c>
      <c r="J331" s="13">
        <v>3</v>
      </c>
      <c r="K331" s="13">
        <v>0</v>
      </c>
      <c r="L331" s="13">
        <v>2</v>
      </c>
      <c r="M331" s="13"/>
      <c r="N331" s="13"/>
      <c r="O331" s="13"/>
      <c r="P331" s="13"/>
      <c r="Q331" s="13"/>
      <c r="R331" s="13" t="s">
        <v>8</v>
      </c>
      <c r="S331" s="13" t="s">
        <v>13</v>
      </c>
    </row>
    <row r="332" spans="2:19">
      <c r="B332" s="13"/>
      <c r="C332" s="14">
        <v>244767</v>
      </c>
      <c r="D332" s="13" t="s">
        <v>211</v>
      </c>
      <c r="E332" s="13" t="s">
        <v>345</v>
      </c>
      <c r="F332" s="13"/>
      <c r="G332" s="13" t="s">
        <v>81</v>
      </c>
      <c r="H332" s="13" t="s">
        <v>10</v>
      </c>
      <c r="I332" s="13">
        <v>3</v>
      </c>
      <c r="J332" s="13">
        <v>3</v>
      </c>
      <c r="K332" s="13">
        <v>0</v>
      </c>
      <c r="L332" s="13">
        <v>2</v>
      </c>
      <c r="M332" s="13"/>
      <c r="N332" s="13"/>
      <c r="O332" s="13"/>
      <c r="P332" s="13"/>
      <c r="Q332" s="13"/>
      <c r="R332" s="13" t="s">
        <v>8</v>
      </c>
      <c r="S332" s="13" t="s">
        <v>13</v>
      </c>
    </row>
    <row r="333" spans="2:19">
      <c r="B333" s="13"/>
      <c r="C333" s="14">
        <v>244767</v>
      </c>
      <c r="D333" s="13" t="s">
        <v>211</v>
      </c>
      <c r="E333" s="13" t="s">
        <v>346</v>
      </c>
      <c r="F333" s="13"/>
      <c r="G333" s="13" t="s">
        <v>35</v>
      </c>
      <c r="H333" s="13" t="s">
        <v>10</v>
      </c>
      <c r="I333" s="13">
        <v>4</v>
      </c>
      <c r="J333" s="13">
        <v>3</v>
      </c>
      <c r="K333" s="13">
        <v>1</v>
      </c>
      <c r="L333" s="13">
        <v>2</v>
      </c>
      <c r="M333" s="13"/>
      <c r="N333" s="13"/>
      <c r="O333" s="13"/>
      <c r="P333" s="13"/>
      <c r="Q333" s="13"/>
      <c r="R333" s="13" t="s">
        <v>8</v>
      </c>
      <c r="S333" s="13" t="s">
        <v>13</v>
      </c>
    </row>
    <row r="334" spans="2:19">
      <c r="B334" s="13"/>
      <c r="C334" s="14">
        <v>244767</v>
      </c>
      <c r="D334" s="13" t="s">
        <v>211</v>
      </c>
      <c r="E334" s="13" t="s">
        <v>347</v>
      </c>
      <c r="F334" s="13"/>
      <c r="G334" s="13" t="s">
        <v>81</v>
      </c>
      <c r="H334" s="13" t="s">
        <v>10</v>
      </c>
      <c r="I334" s="13">
        <v>2</v>
      </c>
      <c r="J334" s="13">
        <v>5</v>
      </c>
      <c r="K334" s="13">
        <v>0</v>
      </c>
      <c r="L334" s="13">
        <v>2</v>
      </c>
      <c r="M334" s="13"/>
      <c r="N334" s="13"/>
      <c r="O334" s="13"/>
      <c r="P334" s="13"/>
      <c r="Q334" s="13"/>
      <c r="R334" s="13" t="s">
        <v>8</v>
      </c>
      <c r="S334" s="13" t="s">
        <v>13</v>
      </c>
    </row>
    <row r="335" spans="2:19">
      <c r="B335" s="13"/>
      <c r="C335" s="14">
        <v>244767</v>
      </c>
      <c r="D335" s="13" t="s">
        <v>211</v>
      </c>
      <c r="E335" s="13" t="s">
        <v>348</v>
      </c>
      <c r="F335" s="13"/>
      <c r="G335" s="13" t="s">
        <v>81</v>
      </c>
      <c r="H335" s="13" t="s">
        <v>10</v>
      </c>
      <c r="I335" s="13">
        <v>4</v>
      </c>
      <c r="J335" s="13">
        <v>4</v>
      </c>
      <c r="K335" s="13">
        <v>0</v>
      </c>
      <c r="L335" s="13">
        <v>2</v>
      </c>
      <c r="M335" s="13"/>
      <c r="N335" s="13"/>
      <c r="O335" s="13"/>
      <c r="P335" s="13"/>
      <c r="Q335" s="13" t="s">
        <v>83</v>
      </c>
      <c r="R335" s="13" t="s">
        <v>8</v>
      </c>
      <c r="S335" s="13" t="s">
        <v>13</v>
      </c>
    </row>
    <row r="336" spans="2:19">
      <c r="B336" s="13"/>
      <c r="C336" s="14">
        <v>244767</v>
      </c>
      <c r="D336" s="13" t="s">
        <v>211</v>
      </c>
      <c r="E336" s="13" t="s">
        <v>349</v>
      </c>
      <c r="F336" s="13"/>
      <c r="G336" s="13" t="s">
        <v>81</v>
      </c>
      <c r="H336" s="13" t="s">
        <v>10</v>
      </c>
      <c r="I336" s="13">
        <v>0</v>
      </c>
      <c r="J336" s="13">
        <v>20.5</v>
      </c>
      <c r="K336" s="13">
        <v>0</v>
      </c>
      <c r="L336" s="13">
        <v>2</v>
      </c>
      <c r="M336" s="13"/>
      <c r="N336" s="13"/>
      <c r="O336" s="13"/>
      <c r="P336" s="13"/>
      <c r="Q336" s="13"/>
      <c r="R336" s="13" t="s">
        <v>8</v>
      </c>
      <c r="S336" s="13" t="s">
        <v>13</v>
      </c>
    </row>
    <row r="337" spans="2:19">
      <c r="B337" s="13"/>
      <c r="C337" s="14">
        <v>244764</v>
      </c>
      <c r="D337" s="13" t="s">
        <v>232</v>
      </c>
      <c r="E337" s="13" t="s">
        <v>350</v>
      </c>
      <c r="F337" s="13"/>
      <c r="G337" s="13" t="s">
        <v>257</v>
      </c>
      <c r="H337" s="13" t="s">
        <v>10</v>
      </c>
      <c r="I337" s="13">
        <v>0</v>
      </c>
      <c r="J337" s="13">
        <v>0</v>
      </c>
      <c r="K337" s="13">
        <v>0</v>
      </c>
      <c r="L337" s="13">
        <v>3</v>
      </c>
      <c r="M337" s="13" t="s">
        <v>236</v>
      </c>
      <c r="N337" s="13"/>
      <c r="O337" s="13"/>
      <c r="P337" s="13"/>
      <c r="Q337" s="13"/>
      <c r="R337" s="13"/>
      <c r="S337" s="13" t="s">
        <v>13</v>
      </c>
    </row>
    <row r="338" spans="2:19">
      <c r="B338" s="13"/>
      <c r="C338" s="14">
        <v>244764</v>
      </c>
      <c r="D338" s="13" t="s">
        <v>211</v>
      </c>
      <c r="E338" s="13" t="s">
        <v>351</v>
      </c>
      <c r="F338" s="13"/>
      <c r="G338" s="13" t="s">
        <v>81</v>
      </c>
      <c r="H338" s="13" t="s">
        <v>10</v>
      </c>
      <c r="I338" s="13">
        <v>0.5</v>
      </c>
      <c r="J338" s="13">
        <v>0.5</v>
      </c>
      <c r="K338" s="13">
        <v>0</v>
      </c>
      <c r="L338" s="13">
        <v>2</v>
      </c>
      <c r="M338" s="13"/>
      <c r="N338" s="13"/>
      <c r="O338" s="13"/>
      <c r="P338" s="13"/>
      <c r="Q338" s="13"/>
      <c r="R338" s="13" t="s">
        <v>8</v>
      </c>
      <c r="S338" s="13" t="s">
        <v>13</v>
      </c>
    </row>
    <row r="339" spans="2:19">
      <c r="B339" s="13"/>
      <c r="C339" s="14">
        <v>244770</v>
      </c>
      <c r="D339" s="13" t="s">
        <v>232</v>
      </c>
      <c r="E339" s="13" t="s">
        <v>246</v>
      </c>
      <c r="F339" s="13"/>
      <c r="G339" s="13" t="s">
        <v>233</v>
      </c>
      <c r="H339" s="13" t="s">
        <v>14</v>
      </c>
      <c r="I339" s="13">
        <v>0</v>
      </c>
      <c r="J339" s="13">
        <v>2</v>
      </c>
      <c r="K339" s="13">
        <v>0</v>
      </c>
      <c r="L339" s="13">
        <v>3</v>
      </c>
      <c r="M339" s="13" t="s">
        <v>236</v>
      </c>
      <c r="N339" s="13"/>
      <c r="O339" s="13"/>
      <c r="P339" s="13"/>
      <c r="Q339" s="13"/>
      <c r="R339" s="13"/>
      <c r="S339" s="13" t="s">
        <v>8</v>
      </c>
    </row>
    <row r="340" spans="2:19">
      <c r="B340" s="13"/>
      <c r="C340" s="14">
        <v>244770</v>
      </c>
      <c r="D340" s="13" t="s">
        <v>211</v>
      </c>
      <c r="E340" s="13" t="s">
        <v>352</v>
      </c>
      <c r="F340" s="13"/>
      <c r="G340" s="13" t="s">
        <v>81</v>
      </c>
      <c r="H340" s="13" t="s">
        <v>20</v>
      </c>
      <c r="I340" s="13">
        <v>2</v>
      </c>
      <c r="J340" s="13">
        <v>2</v>
      </c>
      <c r="K340" s="13">
        <v>0</v>
      </c>
      <c r="L340" s="13">
        <v>2</v>
      </c>
      <c r="M340" s="13"/>
      <c r="N340" s="13"/>
      <c r="O340" s="13"/>
      <c r="P340" s="13"/>
      <c r="Q340" s="13" t="s">
        <v>93</v>
      </c>
      <c r="R340" s="13" t="s">
        <v>8</v>
      </c>
      <c r="S340" s="13" t="s">
        <v>8</v>
      </c>
    </row>
    <row r="341" spans="2:19">
      <c r="B341" s="13"/>
      <c r="C341" s="14">
        <v>242629</v>
      </c>
      <c r="D341" s="13" t="s">
        <v>211</v>
      </c>
      <c r="E341" s="13" t="s">
        <v>248</v>
      </c>
      <c r="F341" s="13"/>
      <c r="G341" s="13" t="s">
        <v>35</v>
      </c>
      <c r="H341" s="13" t="s">
        <v>23</v>
      </c>
      <c r="I341" s="13">
        <v>2</v>
      </c>
      <c r="J341" s="13">
        <v>2</v>
      </c>
      <c r="K341" s="13">
        <v>0</v>
      </c>
      <c r="L341" s="13">
        <v>2</v>
      </c>
      <c r="M341" s="13"/>
      <c r="N341" s="13"/>
      <c r="O341" s="13"/>
      <c r="P341" s="13"/>
      <c r="Q341" s="13"/>
      <c r="R341" s="13" t="s">
        <v>9</v>
      </c>
      <c r="S341" s="13" t="s">
        <v>9</v>
      </c>
    </row>
    <row r="342" spans="2:19">
      <c r="B342" s="13"/>
      <c r="C342" s="14">
        <v>242629</v>
      </c>
      <c r="D342" s="13" t="s">
        <v>211</v>
      </c>
      <c r="E342" s="13" t="s">
        <v>249</v>
      </c>
      <c r="F342" s="13"/>
      <c r="G342" s="13" t="s">
        <v>35</v>
      </c>
      <c r="H342" s="13" t="s">
        <v>23</v>
      </c>
      <c r="I342" s="13">
        <v>2</v>
      </c>
      <c r="J342" s="13">
        <v>2</v>
      </c>
      <c r="K342" s="13">
        <v>0</v>
      </c>
      <c r="L342" s="13">
        <v>2</v>
      </c>
      <c r="M342" s="13"/>
      <c r="N342" s="13"/>
      <c r="O342" s="13"/>
      <c r="P342" s="13"/>
      <c r="Q342" s="13"/>
      <c r="R342" s="13" t="s">
        <v>9</v>
      </c>
      <c r="S342" s="13" t="s">
        <v>9</v>
      </c>
    </row>
    <row r="343" spans="2:19">
      <c r="B343" s="13"/>
      <c r="C343" s="14">
        <v>242629</v>
      </c>
      <c r="D343" s="13" t="s">
        <v>211</v>
      </c>
      <c r="E343" s="13" t="s">
        <v>250</v>
      </c>
      <c r="F343" s="13"/>
      <c r="G343" s="13" t="s">
        <v>35</v>
      </c>
      <c r="H343" s="13" t="s">
        <v>23</v>
      </c>
      <c r="I343" s="13">
        <v>2</v>
      </c>
      <c r="J343" s="13">
        <v>0.25</v>
      </c>
      <c r="K343" s="13">
        <v>1.75</v>
      </c>
      <c r="L343" s="13">
        <v>2</v>
      </c>
      <c r="M343" s="13"/>
      <c r="N343" s="13"/>
      <c r="O343" s="13"/>
      <c r="P343" s="13"/>
      <c r="Q343" s="13"/>
      <c r="R343" s="13" t="s">
        <v>9</v>
      </c>
      <c r="S343" s="13" t="s">
        <v>9</v>
      </c>
    </row>
    <row r="344" spans="2:19">
      <c r="B344" s="13"/>
      <c r="C344" s="14">
        <v>242629</v>
      </c>
      <c r="D344" s="13" t="s">
        <v>211</v>
      </c>
      <c r="E344" s="13" t="s">
        <v>251</v>
      </c>
      <c r="F344" s="13"/>
      <c r="G344" s="13" t="s">
        <v>81</v>
      </c>
      <c r="H344" s="13" t="s">
        <v>23</v>
      </c>
      <c r="I344" s="13">
        <v>2</v>
      </c>
      <c r="J344" s="13">
        <v>1</v>
      </c>
      <c r="K344" s="13">
        <v>0</v>
      </c>
      <c r="L344" s="13">
        <v>2</v>
      </c>
      <c r="M344" s="13"/>
      <c r="N344" s="13"/>
      <c r="O344" s="13"/>
      <c r="P344" s="13"/>
      <c r="Q344" s="13"/>
      <c r="R344" s="13" t="s">
        <v>9</v>
      </c>
      <c r="S344" s="13" t="s">
        <v>9</v>
      </c>
    </row>
    <row r="345" spans="2:19">
      <c r="B345" s="13"/>
      <c r="C345" s="14">
        <v>244768</v>
      </c>
      <c r="D345" s="13" t="s">
        <v>211</v>
      </c>
      <c r="E345" s="13" t="s">
        <v>252</v>
      </c>
      <c r="F345" s="13"/>
      <c r="G345" s="13" t="s">
        <v>81</v>
      </c>
      <c r="H345" s="13" t="s">
        <v>23</v>
      </c>
      <c r="I345" s="13">
        <v>2</v>
      </c>
      <c r="J345" s="13">
        <v>1</v>
      </c>
      <c r="K345" s="13">
        <v>0</v>
      </c>
      <c r="L345" s="13">
        <v>2</v>
      </c>
      <c r="M345" s="13"/>
      <c r="N345" s="13"/>
      <c r="O345" s="13"/>
      <c r="P345" s="13"/>
      <c r="Q345" s="13"/>
      <c r="R345" s="13" t="s">
        <v>9</v>
      </c>
      <c r="S345" s="13" t="s">
        <v>9</v>
      </c>
    </row>
    <row r="346" spans="2:19">
      <c r="B346" s="13"/>
      <c r="C346" s="14">
        <v>244768</v>
      </c>
      <c r="D346" s="13" t="s">
        <v>211</v>
      </c>
      <c r="E346" s="13" t="s">
        <v>353</v>
      </c>
      <c r="F346" s="13"/>
      <c r="G346" s="13" t="s">
        <v>35</v>
      </c>
      <c r="H346" s="13" t="s">
        <v>10</v>
      </c>
      <c r="I346" s="13">
        <v>7</v>
      </c>
      <c r="J346" s="13">
        <v>6</v>
      </c>
      <c r="K346" s="13">
        <v>1</v>
      </c>
      <c r="L346" s="13">
        <v>2</v>
      </c>
      <c r="M346" s="13"/>
      <c r="N346" s="13"/>
      <c r="O346" s="13"/>
      <c r="P346" s="13"/>
      <c r="Q346" s="13"/>
      <c r="R346" s="13" t="s">
        <v>8</v>
      </c>
      <c r="S346" s="13" t="s">
        <v>13</v>
      </c>
    </row>
    <row r="347" spans="2:19">
      <c r="B347" s="13"/>
      <c r="C347" s="14">
        <v>244768</v>
      </c>
      <c r="D347" s="13" t="s">
        <v>211</v>
      </c>
      <c r="E347" s="13" t="s">
        <v>354</v>
      </c>
      <c r="F347" s="13"/>
      <c r="G347" s="13" t="s">
        <v>38</v>
      </c>
      <c r="H347" s="13" t="s">
        <v>10</v>
      </c>
      <c r="I347" s="13">
        <v>4</v>
      </c>
      <c r="J347" s="13">
        <v>5</v>
      </c>
      <c r="K347" s="13">
        <v>1</v>
      </c>
      <c r="L347" s="13">
        <v>2</v>
      </c>
      <c r="M347" s="13"/>
      <c r="N347" s="13"/>
      <c r="O347" s="13"/>
      <c r="P347" s="13"/>
      <c r="Q347" s="13"/>
      <c r="R347" s="13" t="s">
        <v>8</v>
      </c>
      <c r="S347" s="13" t="s">
        <v>13</v>
      </c>
    </row>
    <row r="348" spans="2:19">
      <c r="B348" s="13"/>
      <c r="C348" s="14">
        <v>244768</v>
      </c>
      <c r="D348" s="13" t="s">
        <v>211</v>
      </c>
      <c r="E348" s="13" t="s">
        <v>355</v>
      </c>
      <c r="F348" s="13"/>
      <c r="G348" s="13" t="s">
        <v>38</v>
      </c>
      <c r="H348" s="13" t="s">
        <v>10</v>
      </c>
      <c r="I348" s="13">
        <v>3</v>
      </c>
      <c r="J348" s="13">
        <v>0</v>
      </c>
      <c r="K348" s="13">
        <v>3</v>
      </c>
      <c r="L348" s="13">
        <v>2</v>
      </c>
      <c r="M348" s="13"/>
      <c r="N348" s="13"/>
      <c r="O348" s="13"/>
      <c r="P348" s="13"/>
      <c r="Q348" s="13"/>
      <c r="R348" s="13" t="s">
        <v>8</v>
      </c>
      <c r="S348" s="13" t="s">
        <v>13</v>
      </c>
    </row>
    <row r="349" spans="2:19">
      <c r="B349" s="13"/>
      <c r="C349" s="14">
        <v>244768</v>
      </c>
      <c r="D349" s="13" t="s">
        <v>211</v>
      </c>
      <c r="E349" s="13" t="s">
        <v>356</v>
      </c>
      <c r="F349" s="13"/>
      <c r="G349" s="13" t="s">
        <v>35</v>
      </c>
      <c r="H349" s="13" t="s">
        <v>10</v>
      </c>
      <c r="I349" s="13">
        <v>2</v>
      </c>
      <c r="J349" s="13">
        <v>1</v>
      </c>
      <c r="K349" s="13">
        <v>1</v>
      </c>
      <c r="L349" s="13">
        <v>2</v>
      </c>
      <c r="M349" s="13"/>
      <c r="N349" s="13"/>
      <c r="O349" s="13"/>
      <c r="P349" s="13"/>
      <c r="Q349" s="13"/>
      <c r="R349" s="13" t="s">
        <v>8</v>
      </c>
      <c r="S349" s="13" t="s">
        <v>13</v>
      </c>
    </row>
    <row r="350" spans="2:19">
      <c r="B350" s="13"/>
      <c r="C350" s="14">
        <v>244768</v>
      </c>
      <c r="D350" s="13" t="s">
        <v>211</v>
      </c>
      <c r="E350" s="13" t="s">
        <v>357</v>
      </c>
      <c r="F350" s="13"/>
      <c r="G350" s="13" t="s">
        <v>38</v>
      </c>
      <c r="H350" s="13" t="s">
        <v>10</v>
      </c>
      <c r="I350" s="13">
        <v>3</v>
      </c>
      <c r="J350" s="13">
        <v>2</v>
      </c>
      <c r="K350" s="13">
        <v>1</v>
      </c>
      <c r="L350" s="13">
        <v>2</v>
      </c>
      <c r="M350" s="13"/>
      <c r="N350" s="13"/>
      <c r="O350" s="13"/>
      <c r="P350" s="13"/>
      <c r="Q350" s="13"/>
      <c r="R350" s="13" t="s">
        <v>8</v>
      </c>
      <c r="S350" s="13" t="s">
        <v>13</v>
      </c>
    </row>
    <row r="351" spans="2:19">
      <c r="B351" s="13"/>
      <c r="C351" s="14">
        <v>244768</v>
      </c>
      <c r="D351" s="13" t="s">
        <v>211</v>
      </c>
      <c r="E351" s="13" t="s">
        <v>358</v>
      </c>
      <c r="F351" s="13"/>
      <c r="G351" s="13" t="s">
        <v>38</v>
      </c>
      <c r="H351" s="13" t="s">
        <v>10</v>
      </c>
      <c r="I351" s="13">
        <v>4</v>
      </c>
      <c r="J351" s="13">
        <v>3</v>
      </c>
      <c r="K351" s="13">
        <v>1</v>
      </c>
      <c r="L351" s="13">
        <v>2</v>
      </c>
      <c r="M351" s="13"/>
      <c r="N351" s="13"/>
      <c r="O351" s="13"/>
      <c r="P351" s="13"/>
      <c r="Q351" s="13"/>
      <c r="R351" s="13" t="s">
        <v>8</v>
      </c>
      <c r="S351" s="13" t="s">
        <v>13</v>
      </c>
    </row>
    <row r="352" spans="2:19">
      <c r="B352" s="13"/>
      <c r="C352" s="14">
        <v>244768</v>
      </c>
      <c r="D352" s="13" t="s">
        <v>211</v>
      </c>
      <c r="E352" s="13" t="s">
        <v>359</v>
      </c>
      <c r="F352" s="13"/>
      <c r="G352" s="13" t="s">
        <v>81</v>
      </c>
      <c r="H352" s="13" t="s">
        <v>10</v>
      </c>
      <c r="I352" s="13">
        <v>2</v>
      </c>
      <c r="J352" s="13">
        <v>2</v>
      </c>
      <c r="K352" s="13">
        <v>0</v>
      </c>
      <c r="L352" s="13">
        <v>2</v>
      </c>
      <c r="M352" s="13"/>
      <c r="N352" s="13"/>
      <c r="O352" s="13"/>
      <c r="P352" s="13"/>
      <c r="Q352" s="13"/>
      <c r="R352" s="13" t="s">
        <v>8</v>
      </c>
      <c r="S352" s="13" t="s">
        <v>13</v>
      </c>
    </row>
    <row r="353" spans="2:19">
      <c r="B353" s="13"/>
      <c r="C353" s="14">
        <v>244768</v>
      </c>
      <c r="D353" s="13" t="s">
        <v>211</v>
      </c>
      <c r="E353" s="13" t="s">
        <v>360</v>
      </c>
      <c r="F353" s="13"/>
      <c r="G353" s="13" t="s">
        <v>81</v>
      </c>
      <c r="H353" s="13" t="s">
        <v>10</v>
      </c>
      <c r="I353" s="13">
        <v>3</v>
      </c>
      <c r="J353" s="13">
        <v>3</v>
      </c>
      <c r="K353" s="13">
        <v>0</v>
      </c>
      <c r="L353" s="13">
        <v>2</v>
      </c>
      <c r="M353" s="13"/>
      <c r="N353" s="13"/>
      <c r="O353" s="13"/>
      <c r="P353" s="13"/>
      <c r="Q353" s="13" t="s">
        <v>83</v>
      </c>
      <c r="R353" s="13" t="s">
        <v>8</v>
      </c>
      <c r="S353" s="13" t="s">
        <v>13</v>
      </c>
    </row>
    <row r="354" spans="2:19">
      <c r="B354" s="13"/>
      <c r="C354" s="14">
        <v>244772</v>
      </c>
      <c r="D354" s="13" t="s">
        <v>211</v>
      </c>
      <c r="E354" s="13" t="s">
        <v>253</v>
      </c>
      <c r="F354" s="13"/>
      <c r="G354" s="13" t="s">
        <v>81</v>
      </c>
      <c r="H354" s="13" t="s">
        <v>21</v>
      </c>
      <c r="I354" s="13">
        <v>2</v>
      </c>
      <c r="J354" s="13">
        <v>2</v>
      </c>
      <c r="K354" s="13">
        <v>0</v>
      </c>
      <c r="L354" s="13">
        <v>2</v>
      </c>
      <c r="M354" s="13"/>
      <c r="N354" s="13"/>
      <c r="O354" s="13"/>
      <c r="P354" s="13"/>
      <c r="Q354" s="13"/>
      <c r="R354" s="13" t="s">
        <v>8</v>
      </c>
      <c r="S354" s="13" t="s">
        <v>13</v>
      </c>
    </row>
    <row r="355" spans="2:19">
      <c r="B355" s="13"/>
      <c r="C355" s="14">
        <v>244772</v>
      </c>
      <c r="D355" s="13" t="s">
        <v>211</v>
      </c>
      <c r="E355" s="13" t="s">
        <v>254</v>
      </c>
      <c r="F355" s="13"/>
      <c r="G355" s="13" t="s">
        <v>81</v>
      </c>
      <c r="H355" s="13" t="s">
        <v>21</v>
      </c>
      <c r="I355" s="13">
        <v>2</v>
      </c>
      <c r="J355" s="13">
        <v>2</v>
      </c>
      <c r="K355" s="13">
        <v>0</v>
      </c>
      <c r="L355" s="13">
        <v>2</v>
      </c>
      <c r="M355" s="13"/>
      <c r="N355" s="13"/>
      <c r="O355" s="13"/>
      <c r="P355" s="13"/>
      <c r="Q355" s="13"/>
      <c r="R355" s="13" t="s">
        <v>8</v>
      </c>
      <c r="S355" s="13" t="s">
        <v>13</v>
      </c>
    </row>
    <row r="356" spans="2:19">
      <c r="B356" s="13"/>
      <c r="C356" s="14">
        <v>244756</v>
      </c>
      <c r="D356" s="13" t="s">
        <v>211</v>
      </c>
      <c r="E356" s="13" t="s">
        <v>361</v>
      </c>
      <c r="F356" s="13"/>
      <c r="G356" s="13" t="s">
        <v>81</v>
      </c>
      <c r="H356" s="13" t="s">
        <v>21</v>
      </c>
      <c r="I356" s="13">
        <v>4</v>
      </c>
      <c r="J356" s="13">
        <v>4</v>
      </c>
      <c r="K356" s="13">
        <v>0</v>
      </c>
      <c r="L356" s="13">
        <v>2</v>
      </c>
      <c r="M356" s="13"/>
      <c r="N356" s="13"/>
      <c r="O356" s="13"/>
      <c r="P356" s="13"/>
      <c r="Q356" s="13"/>
      <c r="R356" s="13" t="s">
        <v>8</v>
      </c>
      <c r="S356" s="13" t="s">
        <v>13</v>
      </c>
    </row>
    <row r="357" spans="2:19">
      <c r="B357" s="13"/>
      <c r="C357" s="14">
        <v>244756</v>
      </c>
      <c r="D357" s="13" t="s">
        <v>211</v>
      </c>
      <c r="E357" s="13" t="s">
        <v>362</v>
      </c>
      <c r="F357" s="13"/>
      <c r="G357" s="13" t="s">
        <v>81</v>
      </c>
      <c r="H357" s="13" t="s">
        <v>21</v>
      </c>
      <c r="I357" s="13">
        <v>4</v>
      </c>
      <c r="J357" s="13">
        <v>4</v>
      </c>
      <c r="K357" s="13">
        <v>0</v>
      </c>
      <c r="L357" s="13">
        <v>2</v>
      </c>
      <c r="M357" s="13"/>
      <c r="N357" s="13"/>
      <c r="O357" s="13"/>
      <c r="P357" s="13"/>
      <c r="Q357" s="13"/>
      <c r="R357" s="13" t="s">
        <v>8</v>
      </c>
      <c r="S357" s="13" t="s">
        <v>13</v>
      </c>
    </row>
    <row r="358" spans="2:19">
      <c r="B358" s="13"/>
      <c r="C358" s="14">
        <v>244756</v>
      </c>
      <c r="D358" s="13" t="s">
        <v>211</v>
      </c>
      <c r="E358" s="13" t="s">
        <v>363</v>
      </c>
      <c r="F358" s="13"/>
      <c r="G358" s="13" t="s">
        <v>81</v>
      </c>
      <c r="H358" s="13" t="s">
        <v>21</v>
      </c>
      <c r="I358" s="13">
        <v>4</v>
      </c>
      <c r="J358" s="13">
        <v>4</v>
      </c>
      <c r="K358" s="13">
        <v>0</v>
      </c>
      <c r="L358" s="13">
        <v>2</v>
      </c>
      <c r="M358" s="13"/>
      <c r="N358" s="13"/>
      <c r="O358" s="13"/>
      <c r="P358" s="13"/>
      <c r="Q358" s="13"/>
      <c r="R358" s="13" t="s">
        <v>8</v>
      </c>
      <c r="S358" s="13" t="s">
        <v>13</v>
      </c>
    </row>
    <row r="359" spans="2:19">
      <c r="B359" s="13"/>
      <c r="C359" s="14">
        <v>244761</v>
      </c>
      <c r="D359" s="13" t="s">
        <v>211</v>
      </c>
      <c r="E359" s="13" t="s">
        <v>255</v>
      </c>
      <c r="F359" s="13"/>
      <c r="G359" s="13" t="s">
        <v>81</v>
      </c>
      <c r="H359" s="13" t="s">
        <v>21</v>
      </c>
      <c r="I359" s="13">
        <v>7</v>
      </c>
      <c r="J359" s="13">
        <v>7</v>
      </c>
      <c r="K359" s="13">
        <v>0</v>
      </c>
      <c r="L359" s="13">
        <v>2</v>
      </c>
      <c r="M359" s="13"/>
      <c r="N359" s="13"/>
      <c r="O359" s="13"/>
      <c r="P359" s="13"/>
      <c r="Q359" s="13" t="s">
        <v>41</v>
      </c>
      <c r="R359" s="13" t="s">
        <v>8</v>
      </c>
      <c r="S359" s="13" t="s">
        <v>13</v>
      </c>
    </row>
    <row r="360" spans="2:19">
      <c r="B360" s="13"/>
      <c r="C360" s="14">
        <v>244761</v>
      </c>
      <c r="D360" s="13" t="s">
        <v>211</v>
      </c>
      <c r="E360" s="13" t="s">
        <v>364</v>
      </c>
      <c r="F360" s="13"/>
      <c r="G360" s="13" t="s">
        <v>35</v>
      </c>
      <c r="H360" s="13" t="s">
        <v>21</v>
      </c>
      <c r="I360" s="13">
        <v>6</v>
      </c>
      <c r="J360" s="13">
        <v>0</v>
      </c>
      <c r="K360" s="13">
        <v>6</v>
      </c>
      <c r="L360" s="13">
        <v>2</v>
      </c>
      <c r="M360" s="13"/>
      <c r="N360" s="13"/>
      <c r="O360" s="13"/>
      <c r="P360" s="13"/>
      <c r="Q360" s="13" t="s">
        <v>41</v>
      </c>
      <c r="R360" s="13" t="s">
        <v>8</v>
      </c>
      <c r="S360" s="13" t="s">
        <v>13</v>
      </c>
    </row>
    <row r="361" spans="2:19">
      <c r="B361" s="13"/>
      <c r="C361" s="14">
        <v>244761</v>
      </c>
      <c r="D361" s="13" t="s">
        <v>211</v>
      </c>
      <c r="E361" s="13" t="s">
        <v>365</v>
      </c>
      <c r="F361" s="13"/>
      <c r="G361" s="13" t="s">
        <v>81</v>
      </c>
      <c r="H361" s="13" t="s">
        <v>21</v>
      </c>
      <c r="I361" s="13">
        <v>3</v>
      </c>
      <c r="J361" s="13">
        <v>3</v>
      </c>
      <c r="K361" s="13">
        <v>0</v>
      </c>
      <c r="L361" s="13">
        <v>2</v>
      </c>
      <c r="M361" s="13"/>
      <c r="N361" s="13"/>
      <c r="O361" s="13"/>
      <c r="P361" s="13"/>
      <c r="Q361" s="13"/>
      <c r="R361" s="13" t="s">
        <v>8</v>
      </c>
      <c r="S361" s="13" t="s">
        <v>13</v>
      </c>
    </row>
    <row r="362" spans="2:19">
      <c r="B362" s="13"/>
      <c r="C362" s="14">
        <v>244761</v>
      </c>
      <c r="D362" s="13" t="s">
        <v>211</v>
      </c>
      <c r="E362" s="13" t="s">
        <v>256</v>
      </c>
      <c r="F362" s="13"/>
      <c r="G362" s="13" t="s">
        <v>81</v>
      </c>
      <c r="H362" s="13" t="s">
        <v>20</v>
      </c>
      <c r="I362" s="13">
        <v>8</v>
      </c>
      <c r="J362" s="13">
        <v>8</v>
      </c>
      <c r="K362" s="13">
        <v>0</v>
      </c>
      <c r="L362" s="13">
        <v>2</v>
      </c>
      <c r="M362" s="13"/>
      <c r="N362" s="13"/>
      <c r="O362" s="13"/>
      <c r="P362" s="13"/>
      <c r="Q362" s="13" t="s">
        <v>41</v>
      </c>
      <c r="R362" s="13" t="s">
        <v>8</v>
      </c>
      <c r="S362" s="13" t="s">
        <v>8</v>
      </c>
    </row>
    <row r="363" spans="2:19">
      <c r="B363" s="13"/>
      <c r="C363" s="14">
        <v>244761</v>
      </c>
      <c r="D363" s="13" t="s">
        <v>211</v>
      </c>
      <c r="E363" s="13" t="s">
        <v>366</v>
      </c>
      <c r="F363" s="13"/>
      <c r="G363" s="13" t="s">
        <v>81</v>
      </c>
      <c r="H363" s="13" t="s">
        <v>20</v>
      </c>
      <c r="I363" s="13">
        <v>6</v>
      </c>
      <c r="J363" s="13">
        <v>6</v>
      </c>
      <c r="K363" s="13">
        <v>0</v>
      </c>
      <c r="L363" s="13">
        <v>2</v>
      </c>
      <c r="M363" s="13"/>
      <c r="N363" s="13"/>
      <c r="O363" s="13"/>
      <c r="P363" s="13"/>
      <c r="Q363" s="13"/>
      <c r="R363" s="13" t="s">
        <v>8</v>
      </c>
      <c r="S363" s="13" t="s">
        <v>8</v>
      </c>
    </row>
    <row r="364" spans="2:19">
      <c r="B364" s="13"/>
      <c r="C364" s="14">
        <v>244761</v>
      </c>
      <c r="D364" s="13" t="s">
        <v>211</v>
      </c>
      <c r="E364" s="13" t="s">
        <v>367</v>
      </c>
      <c r="F364" s="13"/>
      <c r="G364" s="13" t="s">
        <v>81</v>
      </c>
      <c r="H364" s="13" t="s">
        <v>20</v>
      </c>
      <c r="I364" s="13">
        <v>10</v>
      </c>
      <c r="J364" s="13">
        <v>10</v>
      </c>
      <c r="K364" s="13">
        <v>0</v>
      </c>
      <c r="L364" s="13">
        <v>2</v>
      </c>
      <c r="M364" s="13"/>
      <c r="N364" s="13"/>
      <c r="O364" s="13"/>
      <c r="P364" s="13"/>
      <c r="Q364" s="13" t="s">
        <v>83</v>
      </c>
      <c r="R364" s="13" t="s">
        <v>8</v>
      </c>
      <c r="S364" s="13" t="s">
        <v>8</v>
      </c>
    </row>
    <row r="365" spans="2:19">
      <c r="B365" s="13"/>
      <c r="C365" s="14">
        <v>244757</v>
      </c>
      <c r="D365" s="13" t="s">
        <v>211</v>
      </c>
      <c r="E365" s="13" t="s">
        <v>368</v>
      </c>
      <c r="F365" s="13"/>
      <c r="G365" s="13" t="s">
        <v>35</v>
      </c>
      <c r="H365" s="13" t="s">
        <v>21</v>
      </c>
      <c r="I365" s="13">
        <v>5</v>
      </c>
      <c r="J365" s="13">
        <v>5</v>
      </c>
      <c r="K365" s="13">
        <v>0</v>
      </c>
      <c r="L365" s="13">
        <v>2</v>
      </c>
      <c r="M365" s="13"/>
      <c r="N365" s="13"/>
      <c r="O365" s="13"/>
      <c r="P365" s="13"/>
      <c r="Q365" s="13"/>
      <c r="R365" s="13" t="s">
        <v>8</v>
      </c>
      <c r="S365" s="13" t="s">
        <v>13</v>
      </c>
    </row>
    <row r="366" spans="2:19">
      <c r="B366" s="13"/>
      <c r="C366" s="14">
        <v>244757</v>
      </c>
      <c r="D366" s="13" t="s">
        <v>211</v>
      </c>
      <c r="E366" s="13" t="s">
        <v>369</v>
      </c>
      <c r="F366" s="13"/>
      <c r="G366" s="13" t="s">
        <v>77</v>
      </c>
      <c r="H366" s="13" t="s">
        <v>21</v>
      </c>
      <c r="I366" s="13">
        <v>2</v>
      </c>
      <c r="J366" s="13">
        <v>0</v>
      </c>
      <c r="K366" s="13">
        <v>2</v>
      </c>
      <c r="L366" s="13">
        <v>2</v>
      </c>
      <c r="M366" s="13"/>
      <c r="N366" s="13"/>
      <c r="O366" s="13"/>
      <c r="P366" s="13"/>
      <c r="Q366" s="13"/>
      <c r="R366" s="13" t="s">
        <v>8</v>
      </c>
      <c r="S366" s="13" t="s">
        <v>13</v>
      </c>
    </row>
    <row r="367" spans="2:19">
      <c r="B367" s="13"/>
      <c r="C367" s="14">
        <v>244758</v>
      </c>
      <c r="D367" s="13" t="s">
        <v>211</v>
      </c>
      <c r="E367" s="13" t="s">
        <v>370</v>
      </c>
      <c r="F367" s="13"/>
      <c r="G367" s="13" t="s">
        <v>77</v>
      </c>
      <c r="H367" s="13" t="s">
        <v>21</v>
      </c>
      <c r="I367" s="13">
        <v>4</v>
      </c>
      <c r="J367" s="13">
        <v>0</v>
      </c>
      <c r="K367" s="13">
        <v>4</v>
      </c>
      <c r="L367" s="13">
        <v>2</v>
      </c>
      <c r="M367" s="13"/>
      <c r="N367" s="13"/>
      <c r="O367" s="13"/>
      <c r="P367" s="13"/>
      <c r="Q367" s="13"/>
      <c r="R367" s="13" t="s">
        <v>8</v>
      </c>
      <c r="S367" s="13" t="s">
        <v>13</v>
      </c>
    </row>
    <row r="368" spans="2:19">
      <c r="B368" s="13"/>
      <c r="C368" s="14">
        <v>244758</v>
      </c>
      <c r="D368" s="13" t="s">
        <v>211</v>
      </c>
      <c r="E368" s="13" t="s">
        <v>371</v>
      </c>
      <c r="F368" s="13"/>
      <c r="G368" s="13" t="s">
        <v>77</v>
      </c>
      <c r="H368" s="13" t="s">
        <v>21</v>
      </c>
      <c r="I368" s="13">
        <v>2</v>
      </c>
      <c r="J368" s="13">
        <v>0</v>
      </c>
      <c r="K368" s="13">
        <v>2</v>
      </c>
      <c r="L368" s="13">
        <v>2</v>
      </c>
      <c r="M368" s="13"/>
      <c r="N368" s="13"/>
      <c r="O368" s="13"/>
      <c r="P368" s="13"/>
      <c r="Q368" s="13"/>
      <c r="R368" s="13" t="s">
        <v>8</v>
      </c>
      <c r="S368" s="13" t="s">
        <v>13</v>
      </c>
    </row>
    <row r="369" spans="2:19">
      <c r="B369" s="13"/>
      <c r="C369" s="14">
        <v>244758</v>
      </c>
      <c r="D369" s="13" t="s">
        <v>211</v>
      </c>
      <c r="E369" s="13" t="s">
        <v>372</v>
      </c>
      <c r="F369" s="13"/>
      <c r="G369" s="13" t="s">
        <v>77</v>
      </c>
      <c r="H369" s="13" t="s">
        <v>21</v>
      </c>
      <c r="I369" s="13">
        <v>4</v>
      </c>
      <c r="J369" s="13">
        <v>0</v>
      </c>
      <c r="K369" s="13">
        <v>4</v>
      </c>
      <c r="L369" s="13">
        <v>2</v>
      </c>
      <c r="M369" s="13"/>
      <c r="N369" s="13"/>
      <c r="O369" s="13"/>
      <c r="P369" s="13"/>
      <c r="Q369" s="13"/>
      <c r="R369" s="13" t="s">
        <v>8</v>
      </c>
      <c r="S369" s="13" t="s">
        <v>13</v>
      </c>
    </row>
    <row r="370" spans="2:19">
      <c r="B370" s="13"/>
      <c r="C370" s="14">
        <v>263534</v>
      </c>
      <c r="D370" s="13" t="s">
        <v>211</v>
      </c>
      <c r="E370" s="13" t="s">
        <v>263</v>
      </c>
      <c r="F370" s="13"/>
      <c r="G370" s="13" t="s">
        <v>81</v>
      </c>
      <c r="H370" s="13" t="s">
        <v>14</v>
      </c>
      <c r="I370" s="13">
        <v>7</v>
      </c>
      <c r="J370" s="13">
        <v>10</v>
      </c>
      <c r="K370" s="13">
        <v>0</v>
      </c>
      <c r="L370" s="13">
        <v>2</v>
      </c>
      <c r="M370" s="13"/>
      <c r="N370" s="13"/>
      <c r="O370" s="13"/>
      <c r="P370" s="13"/>
      <c r="Q370" s="13"/>
      <c r="R370" s="13" t="s">
        <v>264</v>
      </c>
      <c r="S370" s="13" t="s">
        <v>265</v>
      </c>
    </row>
    <row r="371" spans="2:19">
      <c r="B371" s="13"/>
      <c r="C371" s="14">
        <v>263534</v>
      </c>
      <c r="D371" s="13" t="s">
        <v>211</v>
      </c>
      <c r="E371" s="13" t="s">
        <v>266</v>
      </c>
      <c r="F371" s="13"/>
      <c r="G371" s="13" t="s">
        <v>81</v>
      </c>
      <c r="H371" s="13" t="s">
        <v>14</v>
      </c>
      <c r="I371" s="13">
        <v>7</v>
      </c>
      <c r="J371" s="13">
        <v>7</v>
      </c>
      <c r="K371" s="13">
        <v>0</v>
      </c>
      <c r="L371" s="13">
        <v>2</v>
      </c>
      <c r="M371" s="13"/>
      <c r="N371" s="13"/>
      <c r="O371" s="13"/>
      <c r="P371" s="13"/>
      <c r="Q371" s="13"/>
      <c r="R371" s="13" t="s">
        <v>267</v>
      </c>
      <c r="S371" s="13" t="s">
        <v>265</v>
      </c>
    </row>
    <row r="372" spans="2:19">
      <c r="B372" s="13"/>
      <c r="C372" s="14">
        <v>263534</v>
      </c>
      <c r="D372" s="13" t="s">
        <v>211</v>
      </c>
      <c r="E372" s="13" t="s">
        <v>373</v>
      </c>
      <c r="F372" s="13"/>
      <c r="G372" s="13" t="s">
        <v>81</v>
      </c>
      <c r="H372" s="13" t="s">
        <v>14</v>
      </c>
      <c r="I372" s="13">
        <v>7</v>
      </c>
      <c r="J372" s="13">
        <v>7</v>
      </c>
      <c r="K372" s="13">
        <v>0</v>
      </c>
      <c r="L372" s="13">
        <v>2</v>
      </c>
      <c r="M372" s="13"/>
      <c r="N372" s="13"/>
      <c r="O372" s="13"/>
      <c r="P372" s="13"/>
      <c r="Q372" s="13"/>
      <c r="R372" s="13" t="s">
        <v>226</v>
      </c>
      <c r="S372" s="13" t="s">
        <v>15</v>
      </c>
    </row>
    <row r="373" spans="2:19">
      <c r="B373" s="13"/>
      <c r="C373" s="14">
        <v>263834</v>
      </c>
      <c r="D373" s="13" t="s">
        <v>211</v>
      </c>
      <c r="E373" s="13" t="s">
        <v>374</v>
      </c>
      <c r="F373" s="13"/>
      <c r="G373" s="13" t="s">
        <v>81</v>
      </c>
      <c r="H373" s="13" t="s">
        <v>16</v>
      </c>
      <c r="I373" s="13">
        <v>3</v>
      </c>
      <c r="J373" s="13">
        <v>6.5</v>
      </c>
      <c r="K373" s="13">
        <v>0</v>
      </c>
      <c r="L373" s="13">
        <v>2</v>
      </c>
      <c r="M373" s="13"/>
      <c r="N373" s="13"/>
      <c r="O373" s="13"/>
      <c r="P373" s="13"/>
      <c r="Q373" s="13"/>
      <c r="R373" s="13" t="s">
        <v>8</v>
      </c>
      <c r="S373" s="13" t="s">
        <v>13</v>
      </c>
    </row>
    <row r="374" spans="2:19">
      <c r="B374" s="13"/>
      <c r="C374" s="14">
        <v>263834</v>
      </c>
      <c r="D374" s="13" t="s">
        <v>211</v>
      </c>
      <c r="E374" s="13" t="s">
        <v>375</v>
      </c>
      <c r="F374" s="13"/>
      <c r="G374" s="13" t="s">
        <v>81</v>
      </c>
      <c r="H374" s="13" t="s">
        <v>16</v>
      </c>
      <c r="I374" s="13">
        <v>3</v>
      </c>
      <c r="J374" s="13">
        <v>3</v>
      </c>
      <c r="K374" s="13">
        <v>0</v>
      </c>
      <c r="L374" s="13">
        <v>2</v>
      </c>
      <c r="M374" s="13"/>
      <c r="N374" s="13"/>
      <c r="O374" s="13"/>
      <c r="P374" s="13"/>
      <c r="Q374" s="13"/>
      <c r="R374" s="13" t="s">
        <v>8</v>
      </c>
      <c r="S374" s="13" t="s">
        <v>13</v>
      </c>
    </row>
    <row r="375" spans="2:19">
      <c r="B375" s="13"/>
      <c r="C375" s="14">
        <v>263834</v>
      </c>
      <c r="D375" s="13" t="s">
        <v>211</v>
      </c>
      <c r="E375" s="13" t="s">
        <v>376</v>
      </c>
      <c r="F375" s="13"/>
      <c r="G375" s="13" t="s">
        <v>81</v>
      </c>
      <c r="H375" s="13" t="s">
        <v>16</v>
      </c>
      <c r="I375" s="13">
        <v>3</v>
      </c>
      <c r="J375" s="13">
        <v>7</v>
      </c>
      <c r="K375" s="13">
        <v>0</v>
      </c>
      <c r="L375" s="13">
        <v>2</v>
      </c>
      <c r="M375" s="13"/>
      <c r="N375" s="13"/>
      <c r="O375" s="13"/>
      <c r="P375" s="13"/>
      <c r="Q375" s="13"/>
      <c r="R375" s="13" t="s">
        <v>8</v>
      </c>
      <c r="S375" s="13" t="s">
        <v>13</v>
      </c>
    </row>
    <row r="376" spans="2:19">
      <c r="B376" s="13"/>
      <c r="C376" s="14">
        <v>263834</v>
      </c>
      <c r="D376" s="13" t="s">
        <v>211</v>
      </c>
      <c r="E376" s="13" t="s">
        <v>377</v>
      </c>
      <c r="F376" s="13"/>
      <c r="G376" s="13" t="s">
        <v>81</v>
      </c>
      <c r="H376" s="13" t="s">
        <v>18</v>
      </c>
      <c r="I376" s="13">
        <v>2</v>
      </c>
      <c r="J376" s="13">
        <v>2</v>
      </c>
      <c r="K376" s="13">
        <v>0</v>
      </c>
      <c r="L376" s="13">
        <v>2</v>
      </c>
      <c r="M376" s="13"/>
      <c r="N376" s="13"/>
      <c r="O376" s="13"/>
      <c r="P376" s="13"/>
      <c r="Q376" s="13"/>
      <c r="R376" s="13" t="s">
        <v>8</v>
      </c>
      <c r="S376" s="13" t="s">
        <v>8</v>
      </c>
    </row>
    <row r="377" spans="2:19">
      <c r="B377" s="13"/>
      <c r="C377" s="14">
        <v>264506</v>
      </c>
      <c r="D377" s="13" t="s">
        <v>211</v>
      </c>
      <c r="E377" s="13" t="s">
        <v>378</v>
      </c>
      <c r="F377" s="13"/>
      <c r="G377" s="13" t="s">
        <v>81</v>
      </c>
      <c r="H377" s="13" t="s">
        <v>18</v>
      </c>
      <c r="I377" s="13">
        <v>4</v>
      </c>
      <c r="J377" s="13">
        <v>4</v>
      </c>
      <c r="K377" s="13">
        <v>0</v>
      </c>
      <c r="L377" s="13">
        <v>2</v>
      </c>
      <c r="M377" s="13"/>
      <c r="N377" s="13"/>
      <c r="O377" s="13"/>
      <c r="P377" s="13"/>
      <c r="Q377" s="13"/>
      <c r="R377" s="13" t="s">
        <v>8</v>
      </c>
      <c r="S377" s="13" t="s">
        <v>8</v>
      </c>
    </row>
    <row r="378" spans="2:19">
      <c r="B378" s="13"/>
      <c r="C378" s="14">
        <v>264506</v>
      </c>
      <c r="D378" s="13" t="s">
        <v>211</v>
      </c>
      <c r="E378" s="13" t="s">
        <v>379</v>
      </c>
      <c r="F378" s="13"/>
      <c r="G378" s="13" t="s">
        <v>81</v>
      </c>
      <c r="H378" s="13" t="s">
        <v>18</v>
      </c>
      <c r="I378" s="13">
        <v>7</v>
      </c>
      <c r="J378" s="13">
        <v>7</v>
      </c>
      <c r="K378" s="13">
        <v>0</v>
      </c>
      <c r="L378" s="13">
        <v>2</v>
      </c>
      <c r="M378" s="13"/>
      <c r="N378" s="13"/>
      <c r="O378" s="13"/>
      <c r="P378" s="13"/>
      <c r="Q378" s="13"/>
      <c r="R378" s="13" t="s">
        <v>8</v>
      </c>
      <c r="S378" s="13" t="s">
        <v>8</v>
      </c>
    </row>
    <row r="379" spans="2:19">
      <c r="B379" s="13"/>
      <c r="C379" s="14">
        <v>247302</v>
      </c>
      <c r="D379" s="13" t="s">
        <v>211</v>
      </c>
      <c r="E379" s="13" t="s">
        <v>258</v>
      </c>
      <c r="F379" s="13"/>
      <c r="G379" s="13" t="s">
        <v>81</v>
      </c>
      <c r="H379" s="13" t="s">
        <v>23</v>
      </c>
      <c r="I379" s="13">
        <v>3</v>
      </c>
      <c r="J379" s="13">
        <v>4</v>
      </c>
      <c r="K379" s="13">
        <v>0</v>
      </c>
      <c r="L379" s="13">
        <v>2</v>
      </c>
      <c r="M379" s="13"/>
      <c r="N379" s="13"/>
      <c r="O379" s="13"/>
      <c r="P379" s="13"/>
      <c r="Q379" s="13"/>
      <c r="R379" s="13" t="s">
        <v>9</v>
      </c>
      <c r="S379" s="13" t="s">
        <v>9</v>
      </c>
    </row>
    <row r="380" spans="2:19">
      <c r="B380" s="13"/>
      <c r="C380" s="14">
        <v>247302</v>
      </c>
      <c r="D380" s="13" t="s">
        <v>211</v>
      </c>
      <c r="E380" s="13" t="s">
        <v>380</v>
      </c>
      <c r="F380" s="13"/>
      <c r="G380" s="13" t="s">
        <v>81</v>
      </c>
      <c r="H380" s="13" t="s">
        <v>14</v>
      </c>
      <c r="I380" s="13">
        <v>2</v>
      </c>
      <c r="J380" s="13">
        <v>2</v>
      </c>
      <c r="K380" s="13">
        <v>0</v>
      </c>
      <c r="L380" s="13">
        <v>2</v>
      </c>
      <c r="M380" s="13"/>
      <c r="N380" s="13"/>
      <c r="O380" s="13"/>
      <c r="P380" s="13"/>
      <c r="Q380" s="13"/>
      <c r="R380" s="13" t="s">
        <v>381</v>
      </c>
      <c r="S380" s="13" t="s">
        <v>15</v>
      </c>
    </row>
    <row r="381" spans="2:19">
      <c r="B381" s="13"/>
      <c r="C381" s="14">
        <v>253676</v>
      </c>
      <c r="D381" s="13" t="s">
        <v>211</v>
      </c>
      <c r="E381" s="13" t="s">
        <v>259</v>
      </c>
      <c r="F381" s="13"/>
      <c r="G381" s="13" t="s">
        <v>81</v>
      </c>
      <c r="H381" s="13" t="s">
        <v>18</v>
      </c>
      <c r="I381" s="13">
        <v>8</v>
      </c>
      <c r="J381" s="13">
        <v>8</v>
      </c>
      <c r="K381" s="13">
        <v>0</v>
      </c>
      <c r="L381" s="13">
        <v>2</v>
      </c>
      <c r="M381" s="13"/>
      <c r="N381" s="13"/>
      <c r="O381" s="13"/>
      <c r="P381" s="13"/>
      <c r="Q381" s="13"/>
      <c r="R381" s="13" t="s">
        <v>8</v>
      </c>
      <c r="S381" s="13" t="s">
        <v>8</v>
      </c>
    </row>
    <row r="382" spans="2:19">
      <c r="B382" s="13"/>
      <c r="C382" s="14">
        <v>253676</v>
      </c>
      <c r="D382" s="13" t="s">
        <v>211</v>
      </c>
      <c r="E382" s="13" t="s">
        <v>260</v>
      </c>
      <c r="F382" s="13"/>
      <c r="G382" s="13" t="s">
        <v>81</v>
      </c>
      <c r="H382" s="13" t="s">
        <v>18</v>
      </c>
      <c r="I382" s="13">
        <v>8</v>
      </c>
      <c r="J382" s="13">
        <v>8</v>
      </c>
      <c r="K382" s="13">
        <v>0</v>
      </c>
      <c r="L382" s="13">
        <v>2</v>
      </c>
      <c r="M382" s="13"/>
      <c r="N382" s="13"/>
      <c r="O382" s="13"/>
      <c r="P382" s="13"/>
      <c r="Q382" s="13"/>
      <c r="R382" s="13" t="s">
        <v>8</v>
      </c>
      <c r="S382" s="13" t="s">
        <v>8</v>
      </c>
    </row>
    <row r="383" spans="2:19">
      <c r="B383" s="13"/>
      <c r="C383" s="14">
        <v>253676</v>
      </c>
      <c r="D383" s="13" t="s">
        <v>211</v>
      </c>
      <c r="E383" s="13" t="s">
        <v>261</v>
      </c>
      <c r="F383" s="13"/>
      <c r="G383" s="13" t="s">
        <v>81</v>
      </c>
      <c r="H383" s="13" t="s">
        <v>18</v>
      </c>
      <c r="I383" s="13">
        <v>8</v>
      </c>
      <c r="J383" s="13">
        <v>8</v>
      </c>
      <c r="K383" s="13">
        <v>0</v>
      </c>
      <c r="L383" s="13">
        <v>2</v>
      </c>
      <c r="M383" s="13"/>
      <c r="N383" s="13"/>
      <c r="O383" s="13"/>
      <c r="P383" s="13"/>
      <c r="Q383" s="13"/>
      <c r="R383" s="13" t="s">
        <v>8</v>
      </c>
      <c r="S383" s="13" t="s">
        <v>8</v>
      </c>
    </row>
    <row r="384" spans="2:19">
      <c r="B384" s="13"/>
      <c r="C384" s="14">
        <v>253676</v>
      </c>
      <c r="D384" s="13" t="s">
        <v>211</v>
      </c>
      <c r="E384" s="13" t="s">
        <v>262</v>
      </c>
      <c r="F384" s="13"/>
      <c r="G384" s="13" t="s">
        <v>81</v>
      </c>
      <c r="H384" s="13" t="s">
        <v>18</v>
      </c>
      <c r="I384" s="13">
        <v>8</v>
      </c>
      <c r="J384" s="13">
        <v>6</v>
      </c>
      <c r="K384" s="13">
        <v>0</v>
      </c>
      <c r="L384" s="13">
        <v>2</v>
      </c>
      <c r="M384" s="13"/>
      <c r="N384" s="13"/>
      <c r="O384" s="13"/>
      <c r="P384" s="13"/>
      <c r="Q384" s="13" t="s">
        <v>83</v>
      </c>
      <c r="R384" s="13" t="s">
        <v>8</v>
      </c>
      <c r="S384" s="13" t="s">
        <v>8</v>
      </c>
    </row>
    <row r="385" spans="2:19">
      <c r="B385" s="13"/>
      <c r="C385" s="14">
        <v>247303</v>
      </c>
      <c r="D385" s="13" t="s">
        <v>211</v>
      </c>
      <c r="E385" s="13" t="s">
        <v>380</v>
      </c>
      <c r="F385" s="13"/>
      <c r="G385" s="13" t="s">
        <v>81</v>
      </c>
      <c r="H385" s="13" t="s">
        <v>14</v>
      </c>
      <c r="I385" s="13">
        <v>1</v>
      </c>
      <c r="J385" s="13">
        <v>1</v>
      </c>
      <c r="K385" s="13">
        <v>0</v>
      </c>
      <c r="L385" s="13">
        <v>2</v>
      </c>
      <c r="M385" s="13"/>
      <c r="N385" s="13"/>
      <c r="O385" s="13"/>
      <c r="P385" s="13"/>
      <c r="Q385" s="13"/>
      <c r="R385" s="13" t="s">
        <v>381</v>
      </c>
      <c r="S385" s="13" t="s">
        <v>15</v>
      </c>
    </row>
    <row r="386" spans="2:19">
      <c r="B386" s="13"/>
      <c r="C386" s="14">
        <v>247304</v>
      </c>
      <c r="D386" s="13" t="s">
        <v>211</v>
      </c>
      <c r="E386" s="13" t="s">
        <v>380</v>
      </c>
      <c r="F386" s="13"/>
      <c r="G386" s="13" t="s">
        <v>81</v>
      </c>
      <c r="H386" s="13" t="s">
        <v>14</v>
      </c>
      <c r="I386" s="13">
        <v>2</v>
      </c>
      <c r="J386" s="13">
        <v>1</v>
      </c>
      <c r="K386" s="13">
        <v>1</v>
      </c>
      <c r="L386" s="13">
        <v>2</v>
      </c>
      <c r="M386" s="13"/>
      <c r="N386" s="13"/>
      <c r="O386" s="13"/>
      <c r="P386" s="13"/>
      <c r="Q386" s="13"/>
      <c r="R386" s="13" t="s">
        <v>381</v>
      </c>
      <c r="S386" s="13" t="s">
        <v>15</v>
      </c>
    </row>
    <row r="387" spans="2:19">
      <c r="B387" s="13"/>
      <c r="C387" s="14">
        <v>247305</v>
      </c>
      <c r="D387" s="13" t="s">
        <v>211</v>
      </c>
      <c r="E387" s="13" t="s">
        <v>380</v>
      </c>
      <c r="F387" s="13"/>
      <c r="G387" s="13" t="s">
        <v>81</v>
      </c>
      <c r="H387" s="13" t="s">
        <v>14</v>
      </c>
      <c r="I387" s="13">
        <v>2</v>
      </c>
      <c r="J387" s="13">
        <v>2</v>
      </c>
      <c r="K387" s="13">
        <v>0</v>
      </c>
      <c r="L387" s="13">
        <v>2</v>
      </c>
      <c r="M387" s="13"/>
      <c r="N387" s="13"/>
      <c r="O387" s="13"/>
      <c r="P387" s="13"/>
      <c r="Q387" s="13"/>
      <c r="R387" s="13" t="s">
        <v>381</v>
      </c>
      <c r="S387" s="13" t="s">
        <v>15</v>
      </c>
    </row>
    <row r="388" spans="2:19">
      <c r="B388" s="13"/>
      <c r="C388" s="14">
        <v>247306</v>
      </c>
      <c r="D388" s="13" t="s">
        <v>211</v>
      </c>
      <c r="E388" s="13" t="s">
        <v>380</v>
      </c>
      <c r="F388" s="13"/>
      <c r="G388" s="13" t="s">
        <v>81</v>
      </c>
      <c r="H388" s="13" t="s">
        <v>14</v>
      </c>
      <c r="I388" s="13">
        <v>2</v>
      </c>
      <c r="J388" s="13">
        <v>1</v>
      </c>
      <c r="K388" s="13">
        <v>1</v>
      </c>
      <c r="L388" s="13">
        <v>2</v>
      </c>
      <c r="M388" s="13"/>
      <c r="N388" s="13"/>
      <c r="O388" s="13"/>
      <c r="P388" s="13"/>
      <c r="Q388" s="13"/>
      <c r="R388" s="13" t="s">
        <v>381</v>
      </c>
      <c r="S388" s="13" t="s">
        <v>15</v>
      </c>
    </row>
    <row r="389" spans="2:19">
      <c r="B389" s="13"/>
      <c r="C389" s="14">
        <v>247322</v>
      </c>
      <c r="D389" s="13" t="s">
        <v>211</v>
      </c>
      <c r="E389" s="13" t="s">
        <v>380</v>
      </c>
      <c r="F389" s="13"/>
      <c r="G389" s="13" t="s">
        <v>81</v>
      </c>
      <c r="H389" s="13" t="s">
        <v>14</v>
      </c>
      <c r="I389" s="13">
        <v>2</v>
      </c>
      <c r="J389" s="13">
        <v>2</v>
      </c>
      <c r="K389" s="13">
        <v>0</v>
      </c>
      <c r="L389" s="13">
        <v>2</v>
      </c>
      <c r="M389" s="13"/>
      <c r="N389" s="13"/>
      <c r="O389" s="13"/>
      <c r="P389" s="13"/>
      <c r="Q389" s="13"/>
      <c r="R389" s="13" t="s">
        <v>381</v>
      </c>
      <c r="S389" s="13" t="s">
        <v>15</v>
      </c>
    </row>
    <row r="390" spans="2:19">
      <c r="B390" s="13"/>
      <c r="C390" s="14">
        <v>247321</v>
      </c>
      <c r="D390" s="13" t="s">
        <v>211</v>
      </c>
      <c r="E390" s="13" t="s">
        <v>380</v>
      </c>
      <c r="F390" s="13"/>
      <c r="G390" s="13" t="s">
        <v>81</v>
      </c>
      <c r="H390" s="13" t="s">
        <v>14</v>
      </c>
      <c r="I390" s="13">
        <v>3</v>
      </c>
      <c r="J390" s="13">
        <v>2</v>
      </c>
      <c r="K390" s="13">
        <v>1</v>
      </c>
      <c r="L390" s="13">
        <v>2</v>
      </c>
      <c r="M390" s="13"/>
      <c r="N390" s="13"/>
      <c r="O390" s="13"/>
      <c r="P390" s="13"/>
      <c r="Q390" s="13"/>
      <c r="R390" s="13" t="s">
        <v>381</v>
      </c>
      <c r="S390" s="13" t="s">
        <v>15</v>
      </c>
    </row>
    <row r="391" spans="2:19">
      <c r="B391" s="13"/>
      <c r="C391" s="14">
        <v>247324</v>
      </c>
      <c r="D391" s="13" t="s">
        <v>211</v>
      </c>
      <c r="E391" s="13" t="s">
        <v>380</v>
      </c>
      <c r="F391" s="13"/>
      <c r="G391" s="13" t="s">
        <v>81</v>
      </c>
      <c r="H391" s="13" t="s">
        <v>14</v>
      </c>
      <c r="I391" s="13">
        <v>2</v>
      </c>
      <c r="J391" s="13">
        <v>2</v>
      </c>
      <c r="K391" s="13">
        <v>0</v>
      </c>
      <c r="L391" s="13">
        <v>2</v>
      </c>
      <c r="M391" s="13"/>
      <c r="N391" s="13"/>
      <c r="O391" s="13"/>
      <c r="P391" s="13"/>
      <c r="Q391" s="13"/>
      <c r="R391" s="13" t="s">
        <v>381</v>
      </c>
      <c r="S391" s="13" t="s">
        <v>15</v>
      </c>
    </row>
    <row r="392" spans="2:19">
      <c r="B392" s="13"/>
      <c r="C392" s="14">
        <v>247323</v>
      </c>
      <c r="D392" s="13" t="s">
        <v>211</v>
      </c>
      <c r="E392" s="13" t="s">
        <v>380</v>
      </c>
      <c r="F392" s="13"/>
      <c r="G392" s="13" t="s">
        <v>81</v>
      </c>
      <c r="H392" s="13" t="s">
        <v>14</v>
      </c>
      <c r="I392" s="13">
        <v>3</v>
      </c>
      <c r="J392" s="13">
        <v>2</v>
      </c>
      <c r="K392" s="13">
        <v>1</v>
      </c>
      <c r="L392" s="13">
        <v>2</v>
      </c>
      <c r="M392" s="13"/>
      <c r="N392" s="13"/>
      <c r="O392" s="13"/>
      <c r="P392" s="13"/>
      <c r="Q392" s="13"/>
      <c r="R392" s="13" t="s">
        <v>381</v>
      </c>
      <c r="S392" s="13" t="s">
        <v>15</v>
      </c>
    </row>
    <row r="393" spans="2:19">
      <c r="B393" s="13"/>
      <c r="C393" s="14">
        <v>247308</v>
      </c>
      <c r="D393" s="13" t="s">
        <v>211</v>
      </c>
      <c r="E393" s="13" t="s">
        <v>380</v>
      </c>
      <c r="F393" s="13"/>
      <c r="G393" s="13" t="s">
        <v>81</v>
      </c>
      <c r="H393" s="13" t="s">
        <v>14</v>
      </c>
      <c r="I393" s="13">
        <v>1</v>
      </c>
      <c r="J393" s="13">
        <v>1</v>
      </c>
      <c r="K393" s="13">
        <v>0</v>
      </c>
      <c r="L393" s="13">
        <v>2</v>
      </c>
      <c r="M393" s="13"/>
      <c r="N393" s="13"/>
      <c r="O393" s="13"/>
      <c r="P393" s="13"/>
      <c r="Q393" s="13"/>
      <c r="R393" s="13" t="s">
        <v>381</v>
      </c>
      <c r="S393" s="13" t="s">
        <v>15</v>
      </c>
    </row>
    <row r="394" spans="2:19">
      <c r="B394" s="13"/>
      <c r="C394" s="14">
        <v>247315</v>
      </c>
      <c r="D394" s="13" t="s">
        <v>211</v>
      </c>
      <c r="E394" s="13" t="s">
        <v>268</v>
      </c>
      <c r="F394" s="13"/>
      <c r="G394" s="13" t="s">
        <v>35</v>
      </c>
      <c r="H394" s="13" t="s">
        <v>23</v>
      </c>
      <c r="I394" s="13">
        <v>2</v>
      </c>
      <c r="J394" s="13">
        <v>1</v>
      </c>
      <c r="K394" s="13">
        <v>1</v>
      </c>
      <c r="L394" s="13">
        <v>2</v>
      </c>
      <c r="M394" s="13"/>
      <c r="N394" s="13"/>
      <c r="O394" s="13"/>
      <c r="P394" s="13"/>
      <c r="Q394" s="13"/>
      <c r="R394" s="13" t="s">
        <v>9</v>
      </c>
      <c r="S394" s="13" t="s">
        <v>9</v>
      </c>
    </row>
    <row r="395" spans="2:19">
      <c r="B395" s="13"/>
      <c r="C395" s="14">
        <v>247313</v>
      </c>
      <c r="D395" s="13" t="s">
        <v>211</v>
      </c>
      <c r="E395" s="13" t="s">
        <v>380</v>
      </c>
      <c r="F395" s="13"/>
      <c r="G395" s="13" t="s">
        <v>81</v>
      </c>
      <c r="H395" s="13" t="s">
        <v>14</v>
      </c>
      <c r="I395" s="13">
        <v>2</v>
      </c>
      <c r="J395" s="13">
        <v>2</v>
      </c>
      <c r="K395" s="13">
        <v>0</v>
      </c>
      <c r="L395" s="13">
        <v>2</v>
      </c>
      <c r="M395" s="13"/>
      <c r="N395" s="13"/>
      <c r="O395" s="13"/>
      <c r="P395" s="13"/>
      <c r="Q395" s="13"/>
      <c r="R395" s="13" t="s">
        <v>381</v>
      </c>
      <c r="S395" s="13" t="s">
        <v>15</v>
      </c>
    </row>
    <row r="396" spans="2:19">
      <c r="B396" s="13"/>
      <c r="C396" s="14">
        <v>247314</v>
      </c>
      <c r="D396" s="13" t="s">
        <v>211</v>
      </c>
      <c r="E396" s="13" t="s">
        <v>380</v>
      </c>
      <c r="F396" s="13"/>
      <c r="G396" s="13" t="s">
        <v>81</v>
      </c>
      <c r="H396" s="13" t="s">
        <v>14</v>
      </c>
      <c r="I396" s="13">
        <v>2</v>
      </c>
      <c r="J396" s="13">
        <v>2</v>
      </c>
      <c r="K396" s="13">
        <v>0</v>
      </c>
      <c r="L396" s="13">
        <v>2</v>
      </c>
      <c r="M396" s="13"/>
      <c r="N396" s="13"/>
      <c r="O396" s="13"/>
      <c r="P396" s="13"/>
      <c r="Q396" s="13"/>
      <c r="R396" s="13" t="s">
        <v>381</v>
      </c>
      <c r="S396" s="13" t="s">
        <v>15</v>
      </c>
    </row>
    <row r="397" spans="2:19">
      <c r="B397" s="13"/>
      <c r="C397" s="14">
        <v>247316</v>
      </c>
      <c r="D397" s="13" t="s">
        <v>211</v>
      </c>
      <c r="E397" s="13" t="s">
        <v>380</v>
      </c>
      <c r="F397" s="13"/>
      <c r="G397" s="13" t="s">
        <v>81</v>
      </c>
      <c r="H397" s="13" t="s">
        <v>14</v>
      </c>
      <c r="I397" s="13">
        <v>2</v>
      </c>
      <c r="J397" s="13">
        <v>2</v>
      </c>
      <c r="K397" s="13">
        <v>0</v>
      </c>
      <c r="L397" s="13">
        <v>2</v>
      </c>
      <c r="M397" s="13"/>
      <c r="N397" s="13"/>
      <c r="O397" s="13"/>
      <c r="P397" s="13"/>
      <c r="Q397" s="13"/>
      <c r="R397" s="13" t="s">
        <v>381</v>
      </c>
      <c r="S397" s="13" t="s">
        <v>15</v>
      </c>
    </row>
    <row r="398" spans="2:19">
      <c r="B398" s="13"/>
      <c r="C398" s="14">
        <v>247312</v>
      </c>
      <c r="D398" s="13" t="s">
        <v>211</v>
      </c>
      <c r="E398" s="13" t="s">
        <v>269</v>
      </c>
      <c r="F398" s="13"/>
      <c r="G398" s="13" t="s">
        <v>81</v>
      </c>
      <c r="H398" s="13" t="s">
        <v>23</v>
      </c>
      <c r="I398" s="13">
        <v>1</v>
      </c>
      <c r="J398" s="13">
        <v>0.52</v>
      </c>
      <c r="K398" s="13">
        <v>0</v>
      </c>
      <c r="L398" s="13">
        <v>2</v>
      </c>
      <c r="M398" s="13"/>
      <c r="N398" s="13"/>
      <c r="O398" s="13"/>
      <c r="P398" s="13"/>
      <c r="Q398" s="13"/>
      <c r="R398" s="13" t="s">
        <v>9</v>
      </c>
      <c r="S398" s="13" t="s">
        <v>9</v>
      </c>
    </row>
    <row r="399" spans="2:19">
      <c r="B399" s="13"/>
      <c r="C399" s="14">
        <v>247312</v>
      </c>
      <c r="D399" s="13" t="s">
        <v>211</v>
      </c>
      <c r="E399" s="13" t="s">
        <v>380</v>
      </c>
      <c r="F399" s="13"/>
      <c r="G399" s="13" t="s">
        <v>81</v>
      </c>
      <c r="H399" s="13" t="s">
        <v>14</v>
      </c>
      <c r="I399" s="13">
        <v>2</v>
      </c>
      <c r="J399" s="13">
        <v>2</v>
      </c>
      <c r="K399" s="13">
        <v>0</v>
      </c>
      <c r="L399" s="13">
        <v>2</v>
      </c>
      <c r="M399" s="13"/>
      <c r="N399" s="13"/>
      <c r="O399" s="13"/>
      <c r="P399" s="13"/>
      <c r="Q399" s="13"/>
      <c r="R399" s="13" t="s">
        <v>381</v>
      </c>
      <c r="S399" s="13" t="s">
        <v>15</v>
      </c>
    </row>
    <row r="400" spans="2:19">
      <c r="B400" s="13"/>
      <c r="C400" s="14">
        <v>247310</v>
      </c>
      <c r="D400" s="13" t="s">
        <v>211</v>
      </c>
      <c r="E400" s="13" t="s">
        <v>270</v>
      </c>
      <c r="F400" s="13"/>
      <c r="G400" s="13" t="s">
        <v>81</v>
      </c>
      <c r="H400" s="13" t="s">
        <v>23</v>
      </c>
      <c r="I400" s="13">
        <v>3</v>
      </c>
      <c r="J400" s="13">
        <v>4</v>
      </c>
      <c r="K400" s="13">
        <v>0</v>
      </c>
      <c r="L400" s="13">
        <v>2</v>
      </c>
      <c r="M400" s="13"/>
      <c r="N400" s="13"/>
      <c r="O400" s="13"/>
      <c r="P400" s="13"/>
      <c r="Q400" s="13"/>
      <c r="R400" s="13" t="s">
        <v>9</v>
      </c>
      <c r="S400" s="13" t="s">
        <v>9</v>
      </c>
    </row>
    <row r="401" spans="2:19">
      <c r="B401" s="13"/>
      <c r="C401" s="14">
        <v>247310</v>
      </c>
      <c r="D401" s="13" t="s">
        <v>211</v>
      </c>
      <c r="E401" s="13" t="s">
        <v>271</v>
      </c>
      <c r="F401" s="13"/>
      <c r="G401" s="13" t="s">
        <v>81</v>
      </c>
      <c r="H401" s="13" t="s">
        <v>18</v>
      </c>
      <c r="I401" s="13">
        <v>4</v>
      </c>
      <c r="J401" s="13">
        <v>4</v>
      </c>
      <c r="K401" s="13">
        <v>0</v>
      </c>
      <c r="L401" s="13">
        <v>2</v>
      </c>
      <c r="M401" s="13"/>
      <c r="N401" s="13"/>
      <c r="O401" s="13"/>
      <c r="P401" s="13"/>
      <c r="Q401" s="13"/>
      <c r="R401" s="13" t="s">
        <v>8</v>
      </c>
      <c r="S401" s="13" t="s">
        <v>8</v>
      </c>
    </row>
    <row r="402" spans="2:19">
      <c r="B402" s="13"/>
      <c r="C402" s="14">
        <v>247310</v>
      </c>
      <c r="D402" s="13" t="s">
        <v>211</v>
      </c>
      <c r="E402" s="13" t="s">
        <v>272</v>
      </c>
      <c r="F402" s="13"/>
      <c r="G402" s="13" t="s">
        <v>81</v>
      </c>
      <c r="H402" s="13" t="s">
        <v>23</v>
      </c>
      <c r="I402" s="13">
        <v>1.5</v>
      </c>
      <c r="J402" s="13">
        <v>1.5</v>
      </c>
      <c r="K402" s="13">
        <v>0</v>
      </c>
      <c r="L402" s="13">
        <v>2</v>
      </c>
      <c r="M402" s="13"/>
      <c r="N402" s="13"/>
      <c r="O402" s="13"/>
      <c r="P402" s="13"/>
      <c r="Q402" s="13" t="s">
        <v>83</v>
      </c>
      <c r="R402" s="13" t="s">
        <v>9</v>
      </c>
      <c r="S402" s="13" t="s">
        <v>9</v>
      </c>
    </row>
    <row r="403" spans="2:19">
      <c r="B403" s="13"/>
      <c r="C403" s="14">
        <v>247319</v>
      </c>
      <c r="D403" s="13" t="s">
        <v>211</v>
      </c>
      <c r="E403" s="13" t="s">
        <v>380</v>
      </c>
      <c r="F403" s="13"/>
      <c r="G403" s="13" t="s">
        <v>81</v>
      </c>
      <c r="H403" s="13" t="s">
        <v>14</v>
      </c>
      <c r="I403" s="13">
        <v>1</v>
      </c>
      <c r="J403" s="13">
        <v>1</v>
      </c>
      <c r="K403" s="13">
        <v>0</v>
      </c>
      <c r="L403" s="13">
        <v>2</v>
      </c>
      <c r="M403" s="13"/>
      <c r="N403" s="13"/>
      <c r="O403" s="13"/>
      <c r="P403" s="13"/>
      <c r="Q403" s="13"/>
      <c r="R403" s="13" t="s">
        <v>381</v>
      </c>
      <c r="S403" s="13" t="s">
        <v>15</v>
      </c>
    </row>
    <row r="404" spans="2:19">
      <c r="B404" s="13"/>
      <c r="C404" s="14">
        <v>247311</v>
      </c>
      <c r="D404" s="13" t="s">
        <v>211</v>
      </c>
      <c r="E404" s="13" t="s">
        <v>380</v>
      </c>
      <c r="F404" s="13"/>
      <c r="G404" s="13" t="s">
        <v>81</v>
      </c>
      <c r="H404" s="13" t="s">
        <v>14</v>
      </c>
      <c r="I404" s="13">
        <v>2</v>
      </c>
      <c r="J404" s="13">
        <v>2</v>
      </c>
      <c r="K404" s="13">
        <v>0</v>
      </c>
      <c r="L404" s="13">
        <v>2</v>
      </c>
      <c r="M404" s="13"/>
      <c r="N404" s="13"/>
      <c r="O404" s="13"/>
      <c r="P404" s="13"/>
      <c r="Q404" s="13"/>
      <c r="R404" s="13" t="s">
        <v>381</v>
      </c>
      <c r="S404" s="13" t="s">
        <v>15</v>
      </c>
    </row>
    <row r="405" spans="2:19">
      <c r="B405" s="13"/>
      <c r="C405" s="14">
        <v>252836</v>
      </c>
      <c r="D405" s="13" t="s">
        <v>211</v>
      </c>
      <c r="E405" s="13" t="s">
        <v>273</v>
      </c>
      <c r="F405" s="13"/>
      <c r="G405" s="13" t="s">
        <v>81</v>
      </c>
      <c r="H405" s="13" t="s">
        <v>23</v>
      </c>
      <c r="I405" s="13">
        <v>3</v>
      </c>
      <c r="J405" s="13">
        <v>3</v>
      </c>
      <c r="K405" s="13">
        <v>0</v>
      </c>
      <c r="L405" s="13">
        <v>2</v>
      </c>
      <c r="M405" s="13"/>
      <c r="N405" s="13"/>
      <c r="O405" s="13"/>
      <c r="P405" s="13"/>
      <c r="Q405" s="13" t="s">
        <v>83</v>
      </c>
      <c r="R405" s="13" t="s">
        <v>9</v>
      </c>
      <c r="S405" s="13" t="s">
        <v>9</v>
      </c>
    </row>
    <row r="406" spans="2:19">
      <c r="B406" s="13"/>
      <c r="C406" s="14">
        <v>252836</v>
      </c>
      <c r="D406" s="13" t="s">
        <v>211</v>
      </c>
      <c r="E406" s="13" t="s">
        <v>274</v>
      </c>
      <c r="F406" s="13"/>
      <c r="G406" s="13" t="s">
        <v>81</v>
      </c>
      <c r="H406" s="13" t="s">
        <v>18</v>
      </c>
      <c r="I406" s="13">
        <v>4</v>
      </c>
      <c r="J406" s="13">
        <v>4</v>
      </c>
      <c r="K406" s="13">
        <v>0</v>
      </c>
      <c r="L406" s="13">
        <v>2</v>
      </c>
      <c r="M406" s="13"/>
      <c r="N406" s="13"/>
      <c r="O406" s="13"/>
      <c r="P406" s="13"/>
      <c r="Q406" s="13"/>
      <c r="R406" s="13" t="s">
        <v>8</v>
      </c>
      <c r="S406" s="13" t="s">
        <v>8</v>
      </c>
    </row>
    <row r="407" spans="2:19">
      <c r="B407" s="13"/>
      <c r="C407" s="14">
        <v>252836</v>
      </c>
      <c r="D407" s="13" t="s">
        <v>211</v>
      </c>
      <c r="E407" s="13" t="s">
        <v>275</v>
      </c>
      <c r="F407" s="13"/>
      <c r="G407" s="13" t="s">
        <v>81</v>
      </c>
      <c r="H407" s="13" t="s">
        <v>18</v>
      </c>
      <c r="I407" s="13">
        <v>4</v>
      </c>
      <c r="J407" s="13">
        <v>4</v>
      </c>
      <c r="K407" s="13">
        <v>0</v>
      </c>
      <c r="L407" s="13">
        <v>2</v>
      </c>
      <c r="M407" s="13"/>
      <c r="N407" s="13"/>
      <c r="O407" s="13"/>
      <c r="P407" s="13"/>
      <c r="Q407" s="13"/>
      <c r="R407" s="13" t="s">
        <v>8</v>
      </c>
      <c r="S407" s="13" t="s">
        <v>8</v>
      </c>
    </row>
    <row r="408" spans="2:19">
      <c r="B408" s="13"/>
      <c r="C408" s="14">
        <v>252836</v>
      </c>
      <c r="D408" s="13" t="s">
        <v>211</v>
      </c>
      <c r="E408" s="13" t="s">
        <v>382</v>
      </c>
      <c r="F408" s="13"/>
      <c r="G408" s="13" t="s">
        <v>81</v>
      </c>
      <c r="H408" s="13" t="s">
        <v>18</v>
      </c>
      <c r="I408" s="13">
        <v>4</v>
      </c>
      <c r="J408" s="13">
        <v>2</v>
      </c>
      <c r="K408" s="13">
        <v>0</v>
      </c>
      <c r="L408" s="13">
        <v>2</v>
      </c>
      <c r="M408" s="13"/>
      <c r="N408" s="13"/>
      <c r="O408" s="13"/>
      <c r="P408" s="13"/>
      <c r="Q408" s="13"/>
      <c r="R408" s="13" t="s">
        <v>8</v>
      </c>
      <c r="S408" s="13" t="s">
        <v>8</v>
      </c>
    </row>
    <row r="409" spans="2:19">
      <c r="B409" s="13"/>
      <c r="C409" s="14">
        <v>264492</v>
      </c>
      <c r="D409" s="13" t="s">
        <v>211</v>
      </c>
      <c r="E409" s="13" t="s">
        <v>383</v>
      </c>
      <c r="F409" s="13"/>
      <c r="G409" s="13" t="s">
        <v>81</v>
      </c>
      <c r="H409" s="13" t="s">
        <v>16</v>
      </c>
      <c r="I409" s="13">
        <v>4</v>
      </c>
      <c r="J409" s="13">
        <v>4</v>
      </c>
      <c r="K409" s="13">
        <v>0</v>
      </c>
      <c r="L409" s="13">
        <v>2</v>
      </c>
      <c r="M409" s="13"/>
      <c r="N409" s="13"/>
      <c r="O409" s="13"/>
      <c r="P409" s="13"/>
      <c r="Q409" s="13"/>
      <c r="R409" s="13" t="s">
        <v>8</v>
      </c>
      <c r="S409" s="13" t="s">
        <v>13</v>
      </c>
    </row>
    <row r="410" spans="2:19">
      <c r="B410" s="13"/>
      <c r="C410" s="14">
        <v>264492</v>
      </c>
      <c r="D410" s="13" t="s">
        <v>211</v>
      </c>
      <c r="E410" s="13" t="s">
        <v>384</v>
      </c>
      <c r="F410" s="13"/>
      <c r="G410" s="13" t="s">
        <v>81</v>
      </c>
      <c r="H410" s="13" t="s">
        <v>16</v>
      </c>
      <c r="I410" s="13">
        <v>5</v>
      </c>
      <c r="J410" s="13">
        <v>5</v>
      </c>
      <c r="K410" s="13">
        <v>0</v>
      </c>
      <c r="L410" s="13">
        <v>2</v>
      </c>
      <c r="M410" s="13"/>
      <c r="N410" s="13"/>
      <c r="O410" s="13"/>
      <c r="P410" s="13"/>
      <c r="Q410" s="13"/>
      <c r="R410" s="13" t="s">
        <v>8</v>
      </c>
      <c r="S410" s="13" t="s">
        <v>13</v>
      </c>
    </row>
    <row r="411" spans="2:19">
      <c r="B411" s="13"/>
      <c r="C411" s="14">
        <v>264492</v>
      </c>
      <c r="D411" s="13" t="s">
        <v>211</v>
      </c>
      <c r="E411" s="13" t="s">
        <v>385</v>
      </c>
      <c r="F411" s="13"/>
      <c r="G411" s="13" t="s">
        <v>81</v>
      </c>
      <c r="H411" s="13" t="s">
        <v>16</v>
      </c>
      <c r="I411" s="13">
        <v>5</v>
      </c>
      <c r="J411" s="13">
        <v>5</v>
      </c>
      <c r="K411" s="13">
        <v>0</v>
      </c>
      <c r="L411" s="13">
        <v>2</v>
      </c>
      <c r="M411" s="13"/>
      <c r="N411" s="13"/>
      <c r="O411" s="13"/>
      <c r="P411" s="13"/>
      <c r="Q411" s="13"/>
      <c r="R411" s="13" t="s">
        <v>8</v>
      </c>
      <c r="S411" s="13" t="s">
        <v>13</v>
      </c>
    </row>
    <row r="412" spans="2:19">
      <c r="B412" s="13"/>
      <c r="C412" s="14">
        <v>264492</v>
      </c>
      <c r="D412" s="13" t="s">
        <v>211</v>
      </c>
      <c r="E412" s="13" t="s">
        <v>386</v>
      </c>
      <c r="F412" s="13"/>
      <c r="G412" s="13" t="s">
        <v>35</v>
      </c>
      <c r="H412" s="13" t="s">
        <v>16</v>
      </c>
      <c r="I412" s="13">
        <v>4</v>
      </c>
      <c r="J412" s="13">
        <v>4</v>
      </c>
      <c r="K412" s="13">
        <v>0</v>
      </c>
      <c r="L412" s="13">
        <v>2</v>
      </c>
      <c r="M412" s="13"/>
      <c r="N412" s="13"/>
      <c r="O412" s="13"/>
      <c r="P412" s="13"/>
      <c r="Q412" s="13"/>
      <c r="R412" s="13" t="s">
        <v>8</v>
      </c>
      <c r="S412" s="13" t="s">
        <v>13</v>
      </c>
    </row>
    <row r="413" spans="2:19">
      <c r="B413" s="13"/>
      <c r="C413" s="14">
        <v>264492</v>
      </c>
      <c r="D413" s="13" t="s">
        <v>211</v>
      </c>
      <c r="E413" s="13" t="s">
        <v>387</v>
      </c>
      <c r="F413" s="13"/>
      <c r="G413" s="13" t="s">
        <v>35</v>
      </c>
      <c r="H413" s="13" t="s">
        <v>16</v>
      </c>
      <c r="I413" s="13">
        <v>4</v>
      </c>
      <c r="J413" s="13">
        <v>3.5</v>
      </c>
      <c r="K413" s="13">
        <v>0.5</v>
      </c>
      <c r="L413" s="13">
        <v>2</v>
      </c>
      <c r="M413" s="13"/>
      <c r="N413" s="13"/>
      <c r="O413" s="13"/>
      <c r="P413" s="13"/>
      <c r="Q413" s="13"/>
      <c r="R413" s="13" t="s">
        <v>8</v>
      </c>
      <c r="S413" s="13" t="s">
        <v>13</v>
      </c>
    </row>
    <row r="414" spans="2:19">
      <c r="B414" s="13"/>
      <c r="C414" s="14">
        <v>264492</v>
      </c>
      <c r="D414" s="13" t="s">
        <v>211</v>
      </c>
      <c r="E414" s="13" t="s">
        <v>388</v>
      </c>
      <c r="F414" s="13"/>
      <c r="G414" s="13" t="s">
        <v>81</v>
      </c>
      <c r="H414" s="13" t="s">
        <v>23</v>
      </c>
      <c r="I414" s="13">
        <v>2</v>
      </c>
      <c r="J414" s="13">
        <v>1</v>
      </c>
      <c r="K414" s="13">
        <v>0</v>
      </c>
      <c r="L414" s="13">
        <v>2</v>
      </c>
      <c r="M414" s="13"/>
      <c r="N414" s="13"/>
      <c r="O414" s="13"/>
      <c r="P414" s="13"/>
      <c r="Q414" s="13" t="s">
        <v>82</v>
      </c>
      <c r="R414" s="13" t="s">
        <v>9</v>
      </c>
      <c r="S414" s="13" t="s">
        <v>9</v>
      </c>
    </row>
    <row r="415" spans="2:19">
      <c r="B415" s="13"/>
      <c r="C415" s="14">
        <v>264494</v>
      </c>
      <c r="D415" s="13" t="s">
        <v>211</v>
      </c>
      <c r="E415" s="13" t="s">
        <v>389</v>
      </c>
      <c r="F415" s="13"/>
      <c r="G415" s="13" t="s">
        <v>81</v>
      </c>
      <c r="H415" s="13" t="s">
        <v>16</v>
      </c>
      <c r="I415" s="13">
        <v>4</v>
      </c>
      <c r="J415" s="13">
        <v>4</v>
      </c>
      <c r="K415" s="13">
        <v>0</v>
      </c>
      <c r="L415" s="13">
        <v>2</v>
      </c>
      <c r="M415" s="13"/>
      <c r="N415" s="13"/>
      <c r="O415" s="13"/>
      <c r="P415" s="13"/>
      <c r="Q415" s="13"/>
      <c r="R415" s="13" t="s">
        <v>8</v>
      </c>
      <c r="S415" s="13" t="s">
        <v>13</v>
      </c>
    </row>
    <row r="416" spans="2:19">
      <c r="B416" s="13"/>
      <c r="C416" s="14">
        <v>264494</v>
      </c>
      <c r="D416" s="13" t="s">
        <v>211</v>
      </c>
      <c r="E416" s="13" t="s">
        <v>390</v>
      </c>
      <c r="F416" s="13"/>
      <c r="G416" s="13" t="s">
        <v>81</v>
      </c>
      <c r="H416" s="13" t="s">
        <v>16</v>
      </c>
      <c r="I416" s="13">
        <v>4</v>
      </c>
      <c r="J416" s="13">
        <v>4</v>
      </c>
      <c r="K416" s="13">
        <v>0</v>
      </c>
      <c r="L416" s="13">
        <v>2</v>
      </c>
      <c r="M416" s="13"/>
      <c r="N416" s="13"/>
      <c r="O416" s="13"/>
      <c r="P416" s="13"/>
      <c r="Q416" s="13"/>
      <c r="R416" s="13" t="s">
        <v>8</v>
      </c>
      <c r="S416" s="13" t="s">
        <v>13</v>
      </c>
    </row>
    <row r="417" spans="2:19">
      <c r="B417" s="13"/>
      <c r="C417" s="14">
        <v>252825</v>
      </c>
      <c r="D417" s="13" t="s">
        <v>211</v>
      </c>
      <c r="E417" s="13" t="s">
        <v>292</v>
      </c>
      <c r="F417" s="13"/>
      <c r="G417" s="13" t="s">
        <v>81</v>
      </c>
      <c r="H417" s="13" t="s">
        <v>22</v>
      </c>
      <c r="I417" s="13">
        <v>7</v>
      </c>
      <c r="J417" s="13">
        <v>10.65</v>
      </c>
      <c r="K417" s="13">
        <v>0</v>
      </c>
      <c r="L417" s="13">
        <v>2</v>
      </c>
      <c r="M417" s="13"/>
      <c r="N417" s="13"/>
      <c r="O417" s="13"/>
      <c r="P417" s="13"/>
      <c r="Q417" s="13"/>
      <c r="R417" s="13" t="s">
        <v>9</v>
      </c>
      <c r="S417" s="13" t="s">
        <v>9</v>
      </c>
    </row>
    <row r="418" spans="2:19">
      <c r="B418" s="13"/>
      <c r="C418" s="14">
        <v>252825</v>
      </c>
      <c r="D418" s="13" t="s">
        <v>211</v>
      </c>
      <c r="E418" s="13" t="s">
        <v>293</v>
      </c>
      <c r="F418" s="13"/>
      <c r="G418" s="13" t="s">
        <v>81</v>
      </c>
      <c r="H418" s="13" t="s">
        <v>22</v>
      </c>
      <c r="I418" s="13">
        <v>7</v>
      </c>
      <c r="J418" s="13">
        <v>10</v>
      </c>
      <c r="K418" s="13">
        <v>0</v>
      </c>
      <c r="L418" s="13">
        <v>2</v>
      </c>
      <c r="M418" s="13"/>
      <c r="N418" s="13"/>
      <c r="O418" s="13"/>
      <c r="P418" s="13"/>
      <c r="Q418" s="13"/>
      <c r="R418" s="13" t="s">
        <v>9</v>
      </c>
      <c r="S418" s="13" t="s">
        <v>9</v>
      </c>
    </row>
    <row r="419" spans="2:19">
      <c r="B419" s="13"/>
      <c r="C419" s="14">
        <v>252825</v>
      </c>
      <c r="D419" s="13" t="s">
        <v>211</v>
      </c>
      <c r="E419" s="13" t="s">
        <v>295</v>
      </c>
      <c r="F419" s="13"/>
      <c r="G419" s="13" t="s">
        <v>81</v>
      </c>
      <c r="H419" s="13" t="s">
        <v>22</v>
      </c>
      <c r="I419" s="13">
        <v>7</v>
      </c>
      <c r="J419" s="13">
        <v>8</v>
      </c>
      <c r="K419" s="13">
        <v>0</v>
      </c>
      <c r="L419" s="13">
        <v>2</v>
      </c>
      <c r="M419" s="13"/>
      <c r="N419" s="13"/>
      <c r="O419" s="13"/>
      <c r="P419" s="13"/>
      <c r="Q419" s="13"/>
      <c r="R419" s="13" t="s">
        <v>9</v>
      </c>
      <c r="S419" s="13" t="s">
        <v>9</v>
      </c>
    </row>
    <row r="420" spans="2:19">
      <c r="B420" s="13"/>
      <c r="C420" s="14">
        <v>252825</v>
      </c>
      <c r="D420" s="13" t="s">
        <v>211</v>
      </c>
      <c r="E420" s="13" t="s">
        <v>294</v>
      </c>
      <c r="F420" s="13"/>
      <c r="G420" s="13" t="s">
        <v>81</v>
      </c>
      <c r="H420" s="13" t="s">
        <v>22</v>
      </c>
      <c r="I420" s="13">
        <v>7</v>
      </c>
      <c r="J420" s="13">
        <v>7</v>
      </c>
      <c r="K420" s="13">
        <v>0</v>
      </c>
      <c r="L420" s="13">
        <v>2</v>
      </c>
      <c r="M420" s="13"/>
      <c r="N420" s="13"/>
      <c r="O420" s="13"/>
      <c r="P420" s="13"/>
      <c r="Q420" s="13"/>
      <c r="R420" s="13" t="s">
        <v>9</v>
      </c>
      <c r="S420" s="13" t="s">
        <v>9</v>
      </c>
    </row>
    <row r="421" spans="2:19">
      <c r="B421" s="13"/>
      <c r="C421" s="14">
        <v>252825</v>
      </c>
      <c r="D421" s="13" t="s">
        <v>211</v>
      </c>
      <c r="E421" s="13" t="s">
        <v>296</v>
      </c>
      <c r="F421" s="13"/>
      <c r="G421" s="13" t="s">
        <v>81</v>
      </c>
      <c r="H421" s="13" t="s">
        <v>22</v>
      </c>
      <c r="I421" s="13">
        <v>6</v>
      </c>
      <c r="J421" s="13">
        <v>10</v>
      </c>
      <c r="K421" s="13">
        <v>0</v>
      </c>
      <c r="L421" s="13">
        <v>2</v>
      </c>
      <c r="M421" s="13"/>
      <c r="N421" s="13"/>
      <c r="O421" s="13"/>
      <c r="P421" s="13"/>
      <c r="Q421" s="13"/>
      <c r="R421" s="13" t="s">
        <v>9</v>
      </c>
      <c r="S421" s="13" t="s">
        <v>9</v>
      </c>
    </row>
    <row r="422" spans="2:19">
      <c r="B422" s="13"/>
      <c r="C422" s="14">
        <v>252825</v>
      </c>
      <c r="D422" s="13" t="s">
        <v>211</v>
      </c>
      <c r="E422" s="13" t="s">
        <v>297</v>
      </c>
      <c r="F422" s="13"/>
      <c r="G422" s="13" t="s">
        <v>81</v>
      </c>
      <c r="H422" s="13" t="s">
        <v>22</v>
      </c>
      <c r="I422" s="13">
        <v>4</v>
      </c>
      <c r="J422" s="13">
        <v>7.25</v>
      </c>
      <c r="K422" s="13">
        <v>0</v>
      </c>
      <c r="L422" s="13">
        <v>2</v>
      </c>
      <c r="M422" s="13"/>
      <c r="N422" s="13"/>
      <c r="O422" s="13"/>
      <c r="P422" s="13"/>
      <c r="Q422" s="13"/>
      <c r="R422" s="13" t="s">
        <v>9</v>
      </c>
      <c r="S422" s="13" t="s">
        <v>9</v>
      </c>
    </row>
    <row r="423" spans="2:19">
      <c r="B423" s="13"/>
      <c r="C423" s="14">
        <v>252825</v>
      </c>
      <c r="D423" s="13" t="s">
        <v>211</v>
      </c>
      <c r="E423" s="13" t="s">
        <v>298</v>
      </c>
      <c r="F423" s="13"/>
      <c r="G423" s="13" t="s">
        <v>81</v>
      </c>
      <c r="H423" s="13" t="s">
        <v>22</v>
      </c>
      <c r="I423" s="13">
        <v>7</v>
      </c>
      <c r="J423" s="13">
        <v>7</v>
      </c>
      <c r="K423" s="13">
        <v>0</v>
      </c>
      <c r="L423" s="13">
        <v>2</v>
      </c>
      <c r="M423" s="13"/>
      <c r="N423" s="13"/>
      <c r="O423" s="13"/>
      <c r="P423" s="13"/>
      <c r="Q423" s="13"/>
      <c r="R423" s="13" t="s">
        <v>9</v>
      </c>
      <c r="S423" s="13" t="s">
        <v>9</v>
      </c>
    </row>
    <row r="424" spans="2:19">
      <c r="B424" s="13"/>
      <c r="C424" s="14">
        <v>252825</v>
      </c>
      <c r="D424" s="13" t="s">
        <v>211</v>
      </c>
      <c r="E424" s="13" t="s">
        <v>391</v>
      </c>
      <c r="F424" s="13"/>
      <c r="G424" s="13" t="s">
        <v>81</v>
      </c>
      <c r="H424" s="13" t="s">
        <v>22</v>
      </c>
      <c r="I424" s="13">
        <v>6</v>
      </c>
      <c r="J424" s="13">
        <v>7</v>
      </c>
      <c r="K424" s="13">
        <v>0</v>
      </c>
      <c r="L424" s="13">
        <v>2</v>
      </c>
      <c r="M424" s="13"/>
      <c r="N424" s="13"/>
      <c r="O424" s="13"/>
      <c r="P424" s="13"/>
      <c r="Q424" s="13"/>
      <c r="R424" s="13" t="s">
        <v>9</v>
      </c>
      <c r="S424" s="13" t="s">
        <v>9</v>
      </c>
    </row>
    <row r="425" spans="2:19">
      <c r="B425" s="13"/>
      <c r="C425" s="14">
        <v>252825</v>
      </c>
      <c r="D425" s="13" t="s">
        <v>211</v>
      </c>
      <c r="E425" s="13" t="s">
        <v>392</v>
      </c>
      <c r="F425" s="13"/>
      <c r="G425" s="13" t="s">
        <v>81</v>
      </c>
      <c r="H425" s="13" t="s">
        <v>22</v>
      </c>
      <c r="I425" s="13">
        <v>7</v>
      </c>
      <c r="J425" s="13">
        <v>7.5</v>
      </c>
      <c r="K425" s="13">
        <v>0</v>
      </c>
      <c r="L425" s="13">
        <v>2</v>
      </c>
      <c r="M425" s="13"/>
      <c r="N425" s="13"/>
      <c r="O425" s="13"/>
      <c r="P425" s="13"/>
      <c r="Q425" s="13" t="s">
        <v>393</v>
      </c>
      <c r="R425" s="13" t="s">
        <v>9</v>
      </c>
      <c r="S425" s="13" t="s">
        <v>9</v>
      </c>
    </row>
    <row r="426" spans="2:19">
      <c r="B426" s="13"/>
      <c r="C426" s="14">
        <v>252825</v>
      </c>
      <c r="D426" s="13" t="s">
        <v>211</v>
      </c>
      <c r="E426" s="13" t="s">
        <v>394</v>
      </c>
      <c r="F426" s="13"/>
      <c r="G426" s="13" t="s">
        <v>81</v>
      </c>
      <c r="H426" s="13" t="s">
        <v>22</v>
      </c>
      <c r="I426" s="13">
        <v>7</v>
      </c>
      <c r="J426" s="13">
        <v>5.5</v>
      </c>
      <c r="K426" s="13">
        <v>1.5</v>
      </c>
      <c r="L426" s="13">
        <v>2</v>
      </c>
      <c r="M426" s="13"/>
      <c r="N426" s="13"/>
      <c r="O426" s="13"/>
      <c r="P426" s="13"/>
      <c r="Q426" s="13"/>
      <c r="R426" s="13" t="s">
        <v>9</v>
      </c>
      <c r="S426" s="13" t="s">
        <v>9</v>
      </c>
    </row>
    <row r="427" spans="2:19">
      <c r="B427" s="13"/>
      <c r="C427" s="14">
        <v>252825</v>
      </c>
      <c r="D427" s="13" t="s">
        <v>211</v>
      </c>
      <c r="E427" s="13" t="s">
        <v>395</v>
      </c>
      <c r="F427" s="13"/>
      <c r="G427" s="13" t="s">
        <v>81</v>
      </c>
      <c r="H427" s="13" t="s">
        <v>22</v>
      </c>
      <c r="I427" s="13">
        <v>5</v>
      </c>
      <c r="J427" s="13">
        <v>5</v>
      </c>
      <c r="K427" s="13">
        <v>0</v>
      </c>
      <c r="L427" s="13">
        <v>2</v>
      </c>
      <c r="M427" s="13"/>
      <c r="N427" s="13"/>
      <c r="O427" s="13"/>
      <c r="P427" s="13"/>
      <c r="Q427" s="13"/>
      <c r="R427" s="13" t="s">
        <v>9</v>
      </c>
      <c r="S427" s="13" t="s">
        <v>9</v>
      </c>
    </row>
    <row r="428" spans="2:19">
      <c r="B428" s="13"/>
      <c r="C428" s="14">
        <v>252825</v>
      </c>
      <c r="D428" s="13" t="s">
        <v>211</v>
      </c>
      <c r="E428" s="13" t="s">
        <v>396</v>
      </c>
      <c r="F428" s="13"/>
      <c r="G428" s="13" t="s">
        <v>81</v>
      </c>
      <c r="H428" s="13" t="s">
        <v>22</v>
      </c>
      <c r="I428" s="13">
        <v>4</v>
      </c>
      <c r="J428" s="13">
        <v>4</v>
      </c>
      <c r="K428" s="13">
        <v>0</v>
      </c>
      <c r="L428" s="13">
        <v>2</v>
      </c>
      <c r="M428" s="13"/>
      <c r="N428" s="13"/>
      <c r="O428" s="13"/>
      <c r="P428" s="13"/>
      <c r="Q428" s="13"/>
      <c r="R428" s="13" t="s">
        <v>9</v>
      </c>
      <c r="S428" s="13" t="s">
        <v>9</v>
      </c>
    </row>
    <row r="429" spans="2:19">
      <c r="B429" s="13"/>
      <c r="C429" s="14">
        <v>252825</v>
      </c>
      <c r="D429" s="13" t="s">
        <v>211</v>
      </c>
      <c r="E429" s="13" t="s">
        <v>397</v>
      </c>
      <c r="F429" s="13"/>
      <c r="G429" s="13" t="s">
        <v>81</v>
      </c>
      <c r="H429" s="13" t="s">
        <v>22</v>
      </c>
      <c r="I429" s="13">
        <v>7</v>
      </c>
      <c r="J429" s="13">
        <v>3</v>
      </c>
      <c r="K429" s="13">
        <v>4</v>
      </c>
      <c r="L429" s="13">
        <v>2</v>
      </c>
      <c r="M429" s="13"/>
      <c r="N429" s="13"/>
      <c r="O429" s="13"/>
      <c r="P429" s="13"/>
      <c r="Q429" s="13"/>
      <c r="R429" s="13" t="s">
        <v>9</v>
      </c>
      <c r="S429" s="13" t="s">
        <v>9</v>
      </c>
    </row>
    <row r="430" spans="2:19">
      <c r="B430" s="13"/>
      <c r="C430" s="14">
        <v>252825</v>
      </c>
      <c r="D430" s="13" t="s">
        <v>211</v>
      </c>
      <c r="E430" s="13" t="s">
        <v>398</v>
      </c>
      <c r="F430" s="13"/>
      <c r="G430" s="13" t="s">
        <v>81</v>
      </c>
      <c r="H430" s="13" t="s">
        <v>18</v>
      </c>
      <c r="I430" s="13">
        <v>5</v>
      </c>
      <c r="J430" s="13">
        <v>5</v>
      </c>
      <c r="K430" s="13">
        <v>0</v>
      </c>
      <c r="L430" s="13">
        <v>2</v>
      </c>
      <c r="M430" s="13"/>
      <c r="N430" s="13"/>
      <c r="O430" s="13"/>
      <c r="P430" s="13"/>
      <c r="Q430" s="13"/>
      <c r="R430" s="13" t="s">
        <v>8</v>
      </c>
      <c r="S430" s="13" t="s">
        <v>8</v>
      </c>
    </row>
    <row r="431" spans="2:19">
      <c r="B431" s="13"/>
      <c r="C431" s="14">
        <v>252825</v>
      </c>
      <c r="D431" s="13" t="s">
        <v>211</v>
      </c>
      <c r="E431" s="13" t="s">
        <v>399</v>
      </c>
      <c r="F431" s="13"/>
      <c r="G431" s="13" t="s">
        <v>81</v>
      </c>
      <c r="H431" s="13" t="s">
        <v>22</v>
      </c>
      <c r="I431" s="13">
        <v>4</v>
      </c>
      <c r="J431" s="13">
        <v>4</v>
      </c>
      <c r="K431" s="13">
        <v>0</v>
      </c>
      <c r="L431" s="13">
        <v>2</v>
      </c>
      <c r="M431" s="13"/>
      <c r="N431" s="13"/>
      <c r="O431" s="13"/>
      <c r="P431" s="13"/>
      <c r="Q431" s="13"/>
      <c r="R431" s="13" t="s">
        <v>9</v>
      </c>
      <c r="S431" s="13" t="s">
        <v>9</v>
      </c>
    </row>
    <row r="432" spans="2:19">
      <c r="B432" s="13"/>
      <c r="C432" s="14">
        <v>252825</v>
      </c>
      <c r="D432" s="13" t="s">
        <v>211</v>
      </c>
      <c r="E432" s="13" t="s">
        <v>400</v>
      </c>
      <c r="F432" s="13"/>
      <c r="G432" s="13" t="s">
        <v>81</v>
      </c>
      <c r="H432" s="13" t="s">
        <v>20</v>
      </c>
      <c r="I432" s="13">
        <v>7</v>
      </c>
      <c r="J432" s="13">
        <v>7</v>
      </c>
      <c r="K432" s="13">
        <v>0</v>
      </c>
      <c r="L432" s="13">
        <v>2</v>
      </c>
      <c r="M432" s="13"/>
      <c r="N432" s="13"/>
      <c r="O432" s="13"/>
      <c r="P432" s="13"/>
      <c r="Q432" s="13" t="s">
        <v>83</v>
      </c>
      <c r="R432" s="13" t="s">
        <v>8</v>
      </c>
      <c r="S432" s="13" t="s">
        <v>8</v>
      </c>
    </row>
    <row r="433" spans="2:19">
      <c r="B433" s="13"/>
      <c r="C433" s="14">
        <v>252825</v>
      </c>
      <c r="D433" s="13" t="s">
        <v>211</v>
      </c>
      <c r="E433" s="13" t="s">
        <v>401</v>
      </c>
      <c r="F433" s="13"/>
      <c r="G433" s="13" t="s">
        <v>81</v>
      </c>
      <c r="H433" s="13" t="s">
        <v>18</v>
      </c>
      <c r="I433" s="13">
        <v>7</v>
      </c>
      <c r="J433" s="13">
        <v>7</v>
      </c>
      <c r="K433" s="13">
        <v>0</v>
      </c>
      <c r="L433" s="13">
        <v>2</v>
      </c>
      <c r="M433" s="13"/>
      <c r="N433" s="13"/>
      <c r="O433" s="13"/>
      <c r="P433" s="13"/>
      <c r="Q433" s="13"/>
      <c r="R433" s="13" t="s">
        <v>8</v>
      </c>
      <c r="S433" s="13" t="s">
        <v>8</v>
      </c>
    </row>
    <row r="434" spans="2:19">
      <c r="B434" s="13"/>
      <c r="C434" s="14">
        <v>252825</v>
      </c>
      <c r="D434" s="13" t="s">
        <v>211</v>
      </c>
      <c r="E434" s="13" t="s">
        <v>402</v>
      </c>
      <c r="F434" s="13"/>
      <c r="G434" s="13" t="s">
        <v>81</v>
      </c>
      <c r="H434" s="13" t="s">
        <v>18</v>
      </c>
      <c r="I434" s="13">
        <v>7</v>
      </c>
      <c r="J434" s="13">
        <v>7</v>
      </c>
      <c r="K434" s="13">
        <v>0</v>
      </c>
      <c r="L434" s="13">
        <v>2</v>
      </c>
      <c r="M434" s="13"/>
      <c r="N434" s="13"/>
      <c r="O434" s="13"/>
      <c r="P434" s="13"/>
      <c r="Q434" s="13"/>
      <c r="R434" s="13" t="s">
        <v>8</v>
      </c>
      <c r="S434" s="13" t="s">
        <v>8</v>
      </c>
    </row>
    <row r="435" spans="2:19">
      <c r="B435" s="13"/>
      <c r="C435" s="14">
        <v>252825</v>
      </c>
      <c r="D435" s="13" t="s">
        <v>211</v>
      </c>
      <c r="E435" s="13" t="s">
        <v>403</v>
      </c>
      <c r="F435" s="13"/>
      <c r="G435" s="13" t="s">
        <v>81</v>
      </c>
      <c r="H435" s="13" t="s">
        <v>7</v>
      </c>
      <c r="I435" s="13">
        <v>7</v>
      </c>
      <c r="J435" s="13">
        <v>7</v>
      </c>
      <c r="K435" s="13">
        <v>0</v>
      </c>
      <c r="L435" s="13">
        <v>2</v>
      </c>
      <c r="M435" s="13"/>
      <c r="N435" s="13"/>
      <c r="O435" s="13"/>
      <c r="P435" s="13"/>
      <c r="Q435" s="13"/>
      <c r="R435" s="13" t="s">
        <v>8</v>
      </c>
      <c r="S435" s="13" t="s">
        <v>8</v>
      </c>
    </row>
    <row r="436" spans="2:19">
      <c r="B436" s="13"/>
      <c r="C436" s="14">
        <v>252825</v>
      </c>
      <c r="D436" s="13" t="s">
        <v>211</v>
      </c>
      <c r="E436" s="13" t="s">
        <v>404</v>
      </c>
      <c r="F436" s="13"/>
      <c r="G436" s="13" t="s">
        <v>81</v>
      </c>
      <c r="H436" s="13" t="s">
        <v>20</v>
      </c>
      <c r="I436" s="13">
        <v>7</v>
      </c>
      <c r="J436" s="13">
        <v>7</v>
      </c>
      <c r="K436" s="13">
        <v>0</v>
      </c>
      <c r="L436" s="13">
        <v>2</v>
      </c>
      <c r="M436" s="13"/>
      <c r="N436" s="13"/>
      <c r="O436" s="13"/>
      <c r="P436" s="13"/>
      <c r="Q436" s="13"/>
      <c r="R436" s="13" t="s">
        <v>8</v>
      </c>
      <c r="S436" s="13" t="s">
        <v>8</v>
      </c>
    </row>
    <row r="437" spans="2:19">
      <c r="B437" s="13"/>
      <c r="C437" s="14">
        <v>252825</v>
      </c>
      <c r="D437" s="13" t="s">
        <v>211</v>
      </c>
      <c r="E437" s="13" t="s">
        <v>405</v>
      </c>
      <c r="F437" s="13"/>
      <c r="G437" s="13" t="s">
        <v>81</v>
      </c>
      <c r="H437" s="13" t="s">
        <v>20</v>
      </c>
      <c r="I437" s="13">
        <v>7</v>
      </c>
      <c r="J437" s="13">
        <v>7</v>
      </c>
      <c r="K437" s="13">
        <v>0</v>
      </c>
      <c r="L437" s="13">
        <v>2</v>
      </c>
      <c r="M437" s="13"/>
      <c r="N437" s="13"/>
      <c r="O437" s="13"/>
      <c r="P437" s="13"/>
      <c r="Q437" s="13"/>
      <c r="R437" s="13" t="s">
        <v>8</v>
      </c>
      <c r="S437" s="13" t="s">
        <v>8</v>
      </c>
    </row>
    <row r="438" spans="2:19">
      <c r="B438" s="13"/>
      <c r="C438" s="14">
        <v>252825</v>
      </c>
      <c r="D438" s="13" t="s">
        <v>211</v>
      </c>
      <c r="E438" s="13" t="s">
        <v>406</v>
      </c>
      <c r="F438" s="13"/>
      <c r="G438" s="13" t="s">
        <v>81</v>
      </c>
      <c r="H438" s="13" t="s">
        <v>7</v>
      </c>
      <c r="I438" s="13">
        <v>14</v>
      </c>
      <c r="J438" s="13">
        <v>4</v>
      </c>
      <c r="K438" s="13">
        <v>10</v>
      </c>
      <c r="L438" s="13">
        <v>2</v>
      </c>
      <c r="M438" s="13"/>
      <c r="N438" s="13"/>
      <c r="O438" s="13"/>
      <c r="P438" s="13"/>
      <c r="Q438" s="13" t="s">
        <v>340</v>
      </c>
      <c r="R438" s="13" t="s">
        <v>8</v>
      </c>
      <c r="S438" s="13" t="s">
        <v>8</v>
      </c>
    </row>
    <row r="439" spans="2:19">
      <c r="B439" s="13"/>
      <c r="C439" s="14">
        <v>252825</v>
      </c>
      <c r="D439" s="13" t="s">
        <v>211</v>
      </c>
      <c r="E439" s="13" t="s">
        <v>407</v>
      </c>
      <c r="F439" s="13"/>
      <c r="G439" s="13" t="s">
        <v>81</v>
      </c>
      <c r="H439" s="13" t="s">
        <v>20</v>
      </c>
      <c r="I439" s="13">
        <v>7</v>
      </c>
      <c r="J439" s="13">
        <v>7</v>
      </c>
      <c r="K439" s="13">
        <v>0</v>
      </c>
      <c r="L439" s="13">
        <v>2</v>
      </c>
      <c r="M439" s="13"/>
      <c r="N439" s="13"/>
      <c r="O439" s="13"/>
      <c r="P439" s="13"/>
      <c r="Q439" s="13" t="s">
        <v>83</v>
      </c>
      <c r="R439" s="13" t="s">
        <v>8</v>
      </c>
      <c r="S439" s="13" t="s">
        <v>8</v>
      </c>
    </row>
    <row r="440" spans="2:19">
      <c r="B440" s="13"/>
      <c r="C440" s="14">
        <v>252825</v>
      </c>
      <c r="D440" s="13" t="s">
        <v>211</v>
      </c>
      <c r="E440" s="13" t="s">
        <v>408</v>
      </c>
      <c r="F440" s="13"/>
      <c r="G440" s="13" t="s">
        <v>81</v>
      </c>
      <c r="H440" s="13" t="s">
        <v>7</v>
      </c>
      <c r="I440" s="13">
        <v>5</v>
      </c>
      <c r="J440" s="13">
        <v>5</v>
      </c>
      <c r="K440" s="13">
        <v>0</v>
      </c>
      <c r="L440" s="13">
        <v>2</v>
      </c>
      <c r="M440" s="13"/>
      <c r="N440" s="13"/>
      <c r="O440" s="13"/>
      <c r="P440" s="13"/>
      <c r="Q440" s="13"/>
      <c r="R440" s="13" t="s">
        <v>8</v>
      </c>
      <c r="S440" s="13" t="s">
        <v>8</v>
      </c>
    </row>
    <row r="441" spans="2:19">
      <c r="B441" s="13"/>
      <c r="C441" s="14">
        <v>252825</v>
      </c>
      <c r="D441" s="13" t="s">
        <v>211</v>
      </c>
      <c r="E441" s="13" t="s">
        <v>409</v>
      </c>
      <c r="F441" s="13"/>
      <c r="G441" s="13" t="s">
        <v>81</v>
      </c>
      <c r="H441" s="13" t="s">
        <v>18</v>
      </c>
      <c r="I441" s="13">
        <v>7</v>
      </c>
      <c r="J441" s="13">
        <v>7</v>
      </c>
      <c r="K441" s="13">
        <v>0</v>
      </c>
      <c r="L441" s="13">
        <v>2</v>
      </c>
      <c r="M441" s="13"/>
      <c r="N441" s="13"/>
      <c r="O441" s="13"/>
      <c r="P441" s="13"/>
      <c r="Q441" s="13"/>
      <c r="R441" s="13" t="s">
        <v>8</v>
      </c>
      <c r="S441" s="13" t="s">
        <v>8</v>
      </c>
    </row>
    <row r="442" spans="2:19">
      <c r="B442" s="13"/>
      <c r="C442" s="14">
        <v>252825</v>
      </c>
      <c r="D442" s="13" t="s">
        <v>211</v>
      </c>
      <c r="E442" s="13" t="s">
        <v>410</v>
      </c>
      <c r="F442" s="13"/>
      <c r="G442" s="13" t="s">
        <v>81</v>
      </c>
      <c r="H442" s="13" t="s">
        <v>20</v>
      </c>
      <c r="I442" s="13">
        <v>7</v>
      </c>
      <c r="J442" s="13">
        <v>7</v>
      </c>
      <c r="K442" s="13">
        <v>0</v>
      </c>
      <c r="L442" s="13">
        <v>2</v>
      </c>
      <c r="M442" s="13"/>
      <c r="N442" s="13"/>
      <c r="O442" s="13"/>
      <c r="P442" s="13"/>
      <c r="Q442" s="13"/>
      <c r="R442" s="13" t="s">
        <v>8</v>
      </c>
      <c r="S442" s="13" t="s">
        <v>8</v>
      </c>
    </row>
    <row r="443" spans="2:19">
      <c r="B443" s="13"/>
      <c r="C443" s="14">
        <v>252825</v>
      </c>
      <c r="D443" s="13" t="s">
        <v>211</v>
      </c>
      <c r="E443" s="13" t="s">
        <v>411</v>
      </c>
      <c r="F443" s="13"/>
      <c r="G443" s="13" t="s">
        <v>81</v>
      </c>
      <c r="H443" s="13" t="s">
        <v>20</v>
      </c>
      <c r="I443" s="13">
        <v>3</v>
      </c>
      <c r="J443" s="13">
        <v>3</v>
      </c>
      <c r="K443" s="13">
        <v>0</v>
      </c>
      <c r="L443" s="13">
        <v>2</v>
      </c>
      <c r="M443" s="13"/>
      <c r="N443" s="13"/>
      <c r="O443" s="13"/>
      <c r="P443" s="13"/>
      <c r="Q443" s="13"/>
      <c r="R443" s="13" t="s">
        <v>8</v>
      </c>
      <c r="S443" s="13" t="s">
        <v>8</v>
      </c>
    </row>
    <row r="444" spans="2:19">
      <c r="B444" s="13"/>
      <c r="C444" s="14">
        <v>252825</v>
      </c>
      <c r="D444" s="13" t="s">
        <v>211</v>
      </c>
      <c r="E444" s="13" t="s">
        <v>412</v>
      </c>
      <c r="F444" s="13"/>
      <c r="G444" s="13" t="s">
        <v>81</v>
      </c>
      <c r="H444" s="13" t="s">
        <v>18</v>
      </c>
      <c r="I444" s="13">
        <v>7</v>
      </c>
      <c r="J444" s="13">
        <v>7</v>
      </c>
      <c r="K444" s="13">
        <v>0</v>
      </c>
      <c r="L444" s="13">
        <v>2</v>
      </c>
      <c r="M444" s="13"/>
      <c r="N444" s="13"/>
      <c r="O444" s="13"/>
      <c r="P444" s="13"/>
      <c r="Q444" s="13"/>
      <c r="R444" s="13" t="s">
        <v>8</v>
      </c>
      <c r="S444" s="13" t="s">
        <v>8</v>
      </c>
    </row>
    <row r="445" spans="2:19">
      <c r="B445" s="13"/>
      <c r="C445" s="14">
        <v>252825</v>
      </c>
      <c r="D445" s="13" t="s">
        <v>211</v>
      </c>
      <c r="E445" s="13" t="s">
        <v>413</v>
      </c>
      <c r="F445" s="13"/>
      <c r="G445" s="13" t="s">
        <v>81</v>
      </c>
      <c r="H445" s="13" t="s">
        <v>22</v>
      </c>
      <c r="I445" s="13">
        <v>4</v>
      </c>
      <c r="J445" s="13">
        <v>3</v>
      </c>
      <c r="K445" s="13">
        <v>1</v>
      </c>
      <c r="L445" s="13">
        <v>2</v>
      </c>
      <c r="M445" s="13"/>
      <c r="N445" s="13"/>
      <c r="O445" s="13"/>
      <c r="P445" s="13"/>
      <c r="Q445" s="13" t="s">
        <v>340</v>
      </c>
      <c r="R445" s="13" t="s">
        <v>9</v>
      </c>
      <c r="S445" s="13" t="s">
        <v>9</v>
      </c>
    </row>
    <row r="446" spans="2:19">
      <c r="B446" s="13"/>
      <c r="C446" s="14">
        <v>262102</v>
      </c>
      <c r="D446" s="13" t="s">
        <v>211</v>
      </c>
      <c r="E446" s="13" t="s">
        <v>276</v>
      </c>
      <c r="F446" s="13"/>
      <c r="G446" s="13" t="s">
        <v>77</v>
      </c>
      <c r="H446" s="13" t="s">
        <v>14</v>
      </c>
      <c r="I446" s="13">
        <v>5</v>
      </c>
      <c r="J446" s="13">
        <v>5</v>
      </c>
      <c r="K446" s="13">
        <v>0</v>
      </c>
      <c r="L446" s="13">
        <v>2</v>
      </c>
      <c r="M446" s="13"/>
      <c r="N446" s="13"/>
      <c r="O446" s="13"/>
      <c r="P446" s="13"/>
      <c r="Q446" s="13"/>
      <c r="R446" s="13" t="s">
        <v>226</v>
      </c>
      <c r="S446" s="13" t="s">
        <v>15</v>
      </c>
    </row>
    <row r="447" spans="2:19">
      <c r="B447" s="13"/>
      <c r="C447" s="14">
        <v>260487</v>
      </c>
      <c r="D447" s="13" t="s">
        <v>211</v>
      </c>
      <c r="E447" s="13" t="s">
        <v>278</v>
      </c>
      <c r="F447" s="13"/>
      <c r="G447" s="13" t="s">
        <v>81</v>
      </c>
      <c r="H447" s="13" t="s">
        <v>14</v>
      </c>
      <c r="I447" s="13">
        <v>2</v>
      </c>
      <c r="J447" s="13">
        <v>0</v>
      </c>
      <c r="K447" s="13">
        <v>2</v>
      </c>
      <c r="L447" s="13">
        <v>2</v>
      </c>
      <c r="M447" s="13"/>
      <c r="N447" s="13"/>
      <c r="O447" s="13"/>
      <c r="P447" s="13"/>
      <c r="Q447" s="13"/>
      <c r="R447" s="13" t="s">
        <v>226</v>
      </c>
      <c r="S447" s="13" t="s">
        <v>15</v>
      </c>
    </row>
    <row r="448" spans="2:19">
      <c r="B448" s="13"/>
      <c r="C448" s="14">
        <v>263833</v>
      </c>
      <c r="D448" s="13" t="s">
        <v>211</v>
      </c>
      <c r="E448" s="13" t="s">
        <v>281</v>
      </c>
      <c r="F448" s="13"/>
      <c r="G448" s="13" t="s">
        <v>81</v>
      </c>
      <c r="H448" s="13" t="s">
        <v>217</v>
      </c>
      <c r="I448" s="13">
        <v>0</v>
      </c>
      <c r="J448" s="13">
        <v>7.08</v>
      </c>
      <c r="K448" s="13">
        <v>0</v>
      </c>
      <c r="L448" s="13">
        <v>2</v>
      </c>
      <c r="M448" s="13"/>
      <c r="N448" s="13"/>
      <c r="O448" s="13"/>
      <c r="P448" s="13"/>
      <c r="Q448" s="13"/>
      <c r="R448" s="13" t="s">
        <v>280</v>
      </c>
      <c r="S448" s="13" t="s">
        <v>9</v>
      </c>
    </row>
    <row r="449" spans="2:19">
      <c r="B449" s="13"/>
      <c r="C449" s="14">
        <v>263833</v>
      </c>
      <c r="D449" s="13" t="s">
        <v>211</v>
      </c>
      <c r="E449" s="13" t="s">
        <v>285</v>
      </c>
      <c r="F449" s="13"/>
      <c r="G449" s="13" t="s">
        <v>81</v>
      </c>
      <c r="H449" s="13" t="s">
        <v>22</v>
      </c>
      <c r="I449" s="13">
        <v>0</v>
      </c>
      <c r="J449" s="13">
        <v>11.02</v>
      </c>
      <c r="K449" s="13">
        <v>0</v>
      </c>
      <c r="L449" s="13">
        <v>2</v>
      </c>
      <c r="M449" s="13"/>
      <c r="N449" s="13"/>
      <c r="O449" s="13"/>
      <c r="P449" s="13"/>
      <c r="Q449" s="13"/>
      <c r="R449" s="13" t="s">
        <v>9</v>
      </c>
      <c r="S449" s="13" t="s">
        <v>9</v>
      </c>
    </row>
    <row r="450" spans="2:19">
      <c r="B450" s="13"/>
      <c r="C450" s="14">
        <v>263833</v>
      </c>
      <c r="D450" s="13" t="s">
        <v>211</v>
      </c>
      <c r="E450" s="13" t="s">
        <v>279</v>
      </c>
      <c r="F450" s="13"/>
      <c r="G450" s="13" t="s">
        <v>81</v>
      </c>
      <c r="H450" s="13" t="s">
        <v>7</v>
      </c>
      <c r="I450" s="13">
        <v>0</v>
      </c>
      <c r="J450" s="13">
        <v>47</v>
      </c>
      <c r="K450" s="13">
        <v>0</v>
      </c>
      <c r="L450" s="13">
        <v>2</v>
      </c>
      <c r="M450" s="13"/>
      <c r="N450" s="13"/>
      <c r="O450" s="13"/>
      <c r="P450" s="13"/>
      <c r="Q450" s="13"/>
      <c r="R450" s="13" t="s">
        <v>8</v>
      </c>
      <c r="S450" s="13" t="s">
        <v>8</v>
      </c>
    </row>
    <row r="451" spans="2:19">
      <c r="B451" s="13"/>
      <c r="C451" s="14">
        <v>263833</v>
      </c>
      <c r="D451" s="13" t="s">
        <v>211</v>
      </c>
      <c r="E451" s="13" t="s">
        <v>414</v>
      </c>
      <c r="F451" s="13"/>
      <c r="G451" s="13" t="s">
        <v>81</v>
      </c>
      <c r="H451" s="13" t="s">
        <v>16</v>
      </c>
      <c r="I451" s="13">
        <v>0</v>
      </c>
      <c r="J451" s="13">
        <v>22</v>
      </c>
      <c r="K451" s="13">
        <v>0</v>
      </c>
      <c r="L451" s="13">
        <v>2</v>
      </c>
      <c r="M451" s="13"/>
      <c r="N451" s="13"/>
      <c r="O451" s="13"/>
      <c r="P451" s="13"/>
      <c r="Q451" s="13"/>
      <c r="R451" s="13" t="s">
        <v>226</v>
      </c>
      <c r="S451" s="13" t="s">
        <v>13</v>
      </c>
    </row>
    <row r="452" spans="2:19">
      <c r="B452" s="13"/>
      <c r="C452" s="14">
        <v>263833</v>
      </c>
      <c r="D452" s="13" t="s">
        <v>211</v>
      </c>
      <c r="E452" s="13" t="s">
        <v>283</v>
      </c>
      <c r="F452" s="13"/>
      <c r="G452" s="13" t="s">
        <v>81</v>
      </c>
      <c r="H452" s="13" t="s">
        <v>20</v>
      </c>
      <c r="I452" s="13">
        <v>0</v>
      </c>
      <c r="J452" s="13">
        <v>21</v>
      </c>
      <c r="K452" s="13">
        <v>0</v>
      </c>
      <c r="L452" s="13">
        <v>2</v>
      </c>
      <c r="M452" s="13"/>
      <c r="N452" s="13"/>
      <c r="O452" s="13"/>
      <c r="P452" s="13"/>
      <c r="Q452" s="13"/>
      <c r="R452" s="13" t="s">
        <v>8</v>
      </c>
      <c r="S452" s="13" t="s">
        <v>8</v>
      </c>
    </row>
    <row r="453" spans="2:19">
      <c r="B453" s="13"/>
      <c r="C453" s="14">
        <v>263833</v>
      </c>
      <c r="D453" s="13" t="s">
        <v>211</v>
      </c>
      <c r="E453" s="13" t="s">
        <v>415</v>
      </c>
      <c r="F453" s="13"/>
      <c r="G453" s="13" t="s">
        <v>81</v>
      </c>
      <c r="H453" s="13" t="s">
        <v>14</v>
      </c>
      <c r="I453" s="13">
        <v>10</v>
      </c>
      <c r="J453" s="13">
        <v>9</v>
      </c>
      <c r="K453" s="13">
        <v>1</v>
      </c>
      <c r="L453" s="13">
        <v>2</v>
      </c>
      <c r="M453" s="13"/>
      <c r="N453" s="13"/>
      <c r="O453" s="13"/>
      <c r="P453" s="13"/>
      <c r="Q453" s="13"/>
      <c r="R453" s="13" t="s">
        <v>280</v>
      </c>
      <c r="S453" s="13" t="s">
        <v>15</v>
      </c>
    </row>
    <row r="454" spans="2:19">
      <c r="B454" s="13"/>
      <c r="C454" s="14">
        <v>263833</v>
      </c>
      <c r="D454" s="13" t="s">
        <v>211</v>
      </c>
      <c r="E454" s="13" t="s">
        <v>284</v>
      </c>
      <c r="F454" s="13"/>
      <c r="G454" s="13" t="s">
        <v>81</v>
      </c>
      <c r="H454" s="13" t="s">
        <v>18</v>
      </c>
      <c r="I454" s="13">
        <v>0</v>
      </c>
      <c r="J454" s="13">
        <v>14</v>
      </c>
      <c r="K454" s="13">
        <v>0</v>
      </c>
      <c r="L454" s="13">
        <v>2</v>
      </c>
      <c r="M454" s="13"/>
      <c r="N454" s="13"/>
      <c r="O454" s="13"/>
      <c r="P454" s="13"/>
      <c r="Q454" s="13"/>
      <c r="R454" s="13" t="s">
        <v>8</v>
      </c>
      <c r="S454" s="13" t="s">
        <v>8</v>
      </c>
    </row>
    <row r="455" spans="2:19">
      <c r="B455" s="13"/>
      <c r="C455" s="14">
        <v>263833</v>
      </c>
      <c r="D455" s="13" t="s">
        <v>211</v>
      </c>
      <c r="E455" s="13" t="s">
        <v>416</v>
      </c>
      <c r="F455" s="13"/>
      <c r="G455" s="13" t="s">
        <v>81</v>
      </c>
      <c r="H455" s="13" t="s">
        <v>23</v>
      </c>
      <c r="I455" s="13">
        <v>0</v>
      </c>
      <c r="J455" s="13">
        <v>13.67</v>
      </c>
      <c r="K455" s="13">
        <v>0</v>
      </c>
      <c r="L455" s="13">
        <v>2</v>
      </c>
      <c r="M455" s="13"/>
      <c r="N455" s="13"/>
      <c r="O455" s="13"/>
      <c r="P455" s="13"/>
      <c r="Q455" s="13"/>
      <c r="R455" s="13" t="s">
        <v>280</v>
      </c>
      <c r="S455" s="13" t="s">
        <v>9</v>
      </c>
    </row>
    <row r="456" spans="2:19">
      <c r="B456" s="13"/>
      <c r="C456" s="14">
        <v>263833</v>
      </c>
      <c r="D456" s="13" t="s">
        <v>211</v>
      </c>
      <c r="E456" s="13" t="s">
        <v>282</v>
      </c>
      <c r="F456" s="13"/>
      <c r="G456" s="13" t="s">
        <v>81</v>
      </c>
      <c r="H456" s="13" t="s">
        <v>10</v>
      </c>
      <c r="I456" s="13">
        <v>0</v>
      </c>
      <c r="J456" s="13">
        <v>16</v>
      </c>
      <c r="K456" s="13">
        <v>0</v>
      </c>
      <c r="L456" s="13">
        <v>2</v>
      </c>
      <c r="M456" s="13"/>
      <c r="N456" s="13"/>
      <c r="O456" s="13"/>
      <c r="P456" s="13"/>
      <c r="Q456" s="13"/>
      <c r="R456" s="13" t="s">
        <v>8</v>
      </c>
      <c r="S456" s="13" t="s">
        <v>13</v>
      </c>
    </row>
    <row r="457" spans="2:19">
      <c r="I457" s="109">
        <f t="shared" ref="I457:K457" si="0">SUM(I285:I456)</f>
        <v>666</v>
      </c>
      <c r="J457" s="109">
        <f t="shared" si="0"/>
        <v>875.95999999999992</v>
      </c>
      <c r="K457" s="109">
        <f t="shared" si="0"/>
        <v>65.5</v>
      </c>
    </row>
    <row r="458" spans="2:19">
      <c r="B458" s="108" t="s">
        <v>287</v>
      </c>
    </row>
    <row r="459" spans="2:19">
      <c r="B459" s="13" t="s">
        <v>26</v>
      </c>
      <c r="C459" s="13" t="s">
        <v>27</v>
      </c>
      <c r="D459" s="13" t="s">
        <v>28</v>
      </c>
      <c r="E459" s="13" t="s">
        <v>29</v>
      </c>
      <c r="F459" s="13" t="s">
        <v>31</v>
      </c>
      <c r="G459" s="13" t="s">
        <v>30</v>
      </c>
      <c r="H459" s="13" t="s">
        <v>179</v>
      </c>
      <c r="I459" s="13" t="s">
        <v>180</v>
      </c>
      <c r="J459" s="13" t="s">
        <v>181</v>
      </c>
      <c r="K459" s="13" t="s">
        <v>182</v>
      </c>
      <c r="L459" s="13" t="s">
        <v>183</v>
      </c>
      <c r="M459" s="13" t="s">
        <v>184</v>
      </c>
      <c r="N459" s="13" t="s">
        <v>185</v>
      </c>
      <c r="O459" s="13" t="s">
        <v>186</v>
      </c>
      <c r="P459" s="13" t="s">
        <v>187</v>
      </c>
      <c r="Q459" s="13" t="s">
        <v>188</v>
      </c>
      <c r="R459" s="13" t="s">
        <v>189</v>
      </c>
      <c r="S459" s="13" t="s">
        <v>190</v>
      </c>
    </row>
    <row r="460" spans="2:19">
      <c r="B460" s="13"/>
      <c r="C460" s="14">
        <v>260177</v>
      </c>
      <c r="D460" s="13" t="s">
        <v>211</v>
      </c>
      <c r="E460" s="13" t="s">
        <v>212</v>
      </c>
      <c r="F460" s="13"/>
      <c r="G460" s="13" t="s">
        <v>81</v>
      </c>
      <c r="H460" s="13" t="s">
        <v>12</v>
      </c>
      <c r="I460" s="13">
        <v>3</v>
      </c>
      <c r="J460" s="13">
        <v>6</v>
      </c>
      <c r="K460" s="13">
        <v>0</v>
      </c>
      <c r="L460" s="13">
        <v>2</v>
      </c>
      <c r="M460" s="13"/>
      <c r="N460" s="13"/>
      <c r="O460" s="13"/>
      <c r="P460" s="13"/>
      <c r="Q460" s="13"/>
      <c r="R460" s="13" t="s">
        <v>8</v>
      </c>
      <c r="S460" s="13" t="s">
        <v>13</v>
      </c>
    </row>
    <row r="461" spans="2:19">
      <c r="B461" s="13"/>
      <c r="C461" s="14">
        <v>260177</v>
      </c>
      <c r="D461" s="13" t="s">
        <v>211</v>
      </c>
      <c r="E461" s="13" t="s">
        <v>325</v>
      </c>
      <c r="F461" s="13"/>
      <c r="G461" s="13" t="s">
        <v>81</v>
      </c>
      <c r="H461" s="13" t="s">
        <v>12</v>
      </c>
      <c r="I461" s="13">
        <v>5</v>
      </c>
      <c r="J461" s="13">
        <v>4</v>
      </c>
      <c r="K461" s="13">
        <v>1</v>
      </c>
      <c r="L461" s="13">
        <v>2</v>
      </c>
      <c r="M461" s="13"/>
      <c r="N461" s="13"/>
      <c r="O461" s="13"/>
      <c r="P461" s="13"/>
      <c r="Q461" s="13"/>
      <c r="R461" s="13" t="s">
        <v>8</v>
      </c>
      <c r="S461" s="13" t="s">
        <v>13</v>
      </c>
    </row>
    <row r="462" spans="2:19">
      <c r="B462" s="13"/>
      <c r="C462" s="14">
        <v>251892</v>
      </c>
      <c r="D462" s="13" t="s">
        <v>211</v>
      </c>
      <c r="E462" s="13" t="s">
        <v>326</v>
      </c>
      <c r="F462" s="13"/>
      <c r="G462" s="13" t="s">
        <v>81</v>
      </c>
      <c r="H462" s="13" t="s">
        <v>16</v>
      </c>
      <c r="I462" s="13">
        <v>2</v>
      </c>
      <c r="J462" s="13">
        <v>2</v>
      </c>
      <c r="K462" s="13">
        <v>0</v>
      </c>
      <c r="L462" s="13">
        <v>2</v>
      </c>
      <c r="M462" s="13"/>
      <c r="N462" s="13"/>
      <c r="O462" s="13"/>
      <c r="P462" s="13"/>
      <c r="Q462" s="13" t="s">
        <v>82</v>
      </c>
      <c r="R462" s="13" t="s">
        <v>8</v>
      </c>
      <c r="S462" s="13" t="s">
        <v>13</v>
      </c>
    </row>
    <row r="463" spans="2:19">
      <c r="B463" s="13"/>
      <c r="C463" s="14">
        <v>251892</v>
      </c>
      <c r="D463" s="13" t="s">
        <v>211</v>
      </c>
      <c r="E463" s="13" t="s">
        <v>213</v>
      </c>
      <c r="F463" s="13"/>
      <c r="G463" s="13" t="s">
        <v>81</v>
      </c>
      <c r="H463" s="13" t="s">
        <v>23</v>
      </c>
      <c r="I463" s="13">
        <v>4</v>
      </c>
      <c r="J463" s="13">
        <v>13.67</v>
      </c>
      <c r="K463" s="13">
        <v>0</v>
      </c>
      <c r="L463" s="13">
        <v>2</v>
      </c>
      <c r="M463" s="13"/>
      <c r="N463" s="13"/>
      <c r="O463" s="13"/>
      <c r="P463" s="13"/>
      <c r="Q463" s="13"/>
      <c r="R463" s="13" t="s">
        <v>9</v>
      </c>
      <c r="S463" s="13" t="s">
        <v>9</v>
      </c>
    </row>
    <row r="464" spans="2:19">
      <c r="B464" s="13"/>
      <c r="C464" s="14">
        <v>233816</v>
      </c>
      <c r="D464" s="13" t="s">
        <v>211</v>
      </c>
      <c r="E464" s="13" t="s">
        <v>327</v>
      </c>
      <c r="F464" s="13"/>
      <c r="G464" s="13" t="s">
        <v>81</v>
      </c>
      <c r="H464" s="13" t="s">
        <v>23</v>
      </c>
      <c r="I464" s="13">
        <v>4</v>
      </c>
      <c r="J464" s="13">
        <v>2.5</v>
      </c>
      <c r="K464" s="13">
        <v>0</v>
      </c>
      <c r="L464" s="13">
        <v>2</v>
      </c>
      <c r="M464" s="13"/>
      <c r="N464" s="13"/>
      <c r="O464" s="13"/>
      <c r="P464" s="13"/>
      <c r="Q464" s="13"/>
      <c r="R464" s="13" t="s">
        <v>9</v>
      </c>
      <c r="S464" s="13" t="s">
        <v>9</v>
      </c>
    </row>
    <row r="465" spans="2:19">
      <c r="B465" s="13"/>
      <c r="C465" s="14">
        <v>233934</v>
      </c>
      <c r="D465" s="13" t="s">
        <v>211</v>
      </c>
      <c r="E465" s="13" t="s">
        <v>214</v>
      </c>
      <c r="F465" s="13"/>
      <c r="G465" s="13" t="s">
        <v>81</v>
      </c>
      <c r="H465" s="13" t="s">
        <v>16</v>
      </c>
      <c r="I465" s="13">
        <v>3</v>
      </c>
      <c r="J465" s="13">
        <v>3</v>
      </c>
      <c r="K465" s="13">
        <v>0</v>
      </c>
      <c r="L465" s="13">
        <v>2</v>
      </c>
      <c r="M465" s="13"/>
      <c r="N465" s="13"/>
      <c r="O465" s="13"/>
      <c r="P465" s="13"/>
      <c r="Q465" s="13"/>
      <c r="R465" s="13" t="s">
        <v>8</v>
      </c>
      <c r="S465" s="13" t="s">
        <v>13</v>
      </c>
    </row>
    <row r="466" spans="2:19">
      <c r="B466" s="13"/>
      <c r="C466" s="14">
        <v>255495</v>
      </c>
      <c r="D466" s="13" t="s">
        <v>211</v>
      </c>
      <c r="E466" s="13" t="s">
        <v>215</v>
      </c>
      <c r="F466" s="13"/>
      <c r="G466" s="13" t="s">
        <v>81</v>
      </c>
      <c r="H466" s="13" t="s">
        <v>16</v>
      </c>
      <c r="I466" s="13">
        <v>4</v>
      </c>
      <c r="J466" s="13">
        <v>4</v>
      </c>
      <c r="K466" s="13">
        <v>0</v>
      </c>
      <c r="L466" s="13">
        <v>2</v>
      </c>
      <c r="M466" s="13"/>
      <c r="N466" s="13"/>
      <c r="O466" s="13"/>
      <c r="P466" s="13"/>
      <c r="Q466" s="13"/>
      <c r="R466" s="13" t="s">
        <v>8</v>
      </c>
      <c r="S466" s="13" t="s">
        <v>13</v>
      </c>
    </row>
    <row r="467" spans="2:19">
      <c r="B467" s="13"/>
      <c r="C467" s="14">
        <v>255495</v>
      </c>
      <c r="D467" s="13" t="s">
        <v>211</v>
      </c>
      <c r="E467" s="13" t="s">
        <v>328</v>
      </c>
      <c r="F467" s="13"/>
      <c r="G467" s="13" t="s">
        <v>42</v>
      </c>
      <c r="H467" s="13" t="s">
        <v>217</v>
      </c>
      <c r="I467" s="13">
        <v>5</v>
      </c>
      <c r="J467" s="13">
        <v>4.4000000000000004</v>
      </c>
      <c r="K467" s="13">
        <v>0.6</v>
      </c>
      <c r="L467" s="13">
        <v>2</v>
      </c>
      <c r="M467" s="13"/>
      <c r="N467" s="13"/>
      <c r="O467" s="13"/>
      <c r="P467" s="13"/>
      <c r="Q467" s="13"/>
      <c r="R467" s="13" t="s">
        <v>9</v>
      </c>
      <c r="S467" s="13" t="s">
        <v>9</v>
      </c>
    </row>
    <row r="468" spans="2:19">
      <c r="B468" s="13"/>
      <c r="C468" s="14">
        <v>250832</v>
      </c>
      <c r="D468" s="13" t="s">
        <v>211</v>
      </c>
      <c r="E468" s="13" t="s">
        <v>216</v>
      </c>
      <c r="F468" s="13"/>
      <c r="G468" s="13" t="s">
        <v>35</v>
      </c>
      <c r="H468" s="13" t="s">
        <v>23</v>
      </c>
      <c r="I468" s="13">
        <v>5</v>
      </c>
      <c r="J468" s="13">
        <v>5</v>
      </c>
      <c r="K468" s="13">
        <v>0</v>
      </c>
      <c r="L468" s="13">
        <v>2</v>
      </c>
      <c r="M468" s="13"/>
      <c r="N468" s="13"/>
      <c r="O468" s="13"/>
      <c r="P468" s="13"/>
      <c r="Q468" s="13"/>
      <c r="R468" s="13" t="s">
        <v>9</v>
      </c>
      <c r="S468" s="13" t="s">
        <v>9</v>
      </c>
    </row>
    <row r="469" spans="2:19">
      <c r="B469" s="13"/>
      <c r="C469" s="14">
        <v>250832</v>
      </c>
      <c r="D469" s="13" t="s">
        <v>211</v>
      </c>
      <c r="E469" s="13" t="s">
        <v>218</v>
      </c>
      <c r="F469" s="13"/>
      <c r="G469" s="13" t="s">
        <v>81</v>
      </c>
      <c r="H469" s="13" t="s">
        <v>217</v>
      </c>
      <c r="I469" s="13">
        <v>3</v>
      </c>
      <c r="J469" s="13">
        <v>7.67</v>
      </c>
      <c r="K469" s="13">
        <v>0</v>
      </c>
      <c r="L469" s="13">
        <v>2</v>
      </c>
      <c r="M469" s="13"/>
      <c r="N469" s="13"/>
      <c r="O469" s="13"/>
      <c r="P469" s="13"/>
      <c r="Q469" s="13"/>
      <c r="R469" s="13" t="s">
        <v>9</v>
      </c>
      <c r="S469" s="13" t="s">
        <v>9</v>
      </c>
    </row>
    <row r="470" spans="2:19">
      <c r="B470" s="13"/>
      <c r="C470" s="14">
        <v>250832</v>
      </c>
      <c r="D470" s="13" t="s">
        <v>211</v>
      </c>
      <c r="E470" s="13" t="s">
        <v>219</v>
      </c>
      <c r="F470" s="13"/>
      <c r="G470" s="13" t="s">
        <v>81</v>
      </c>
      <c r="H470" s="13" t="s">
        <v>217</v>
      </c>
      <c r="I470" s="13">
        <v>5</v>
      </c>
      <c r="J470" s="13">
        <v>16.34</v>
      </c>
      <c r="K470" s="13">
        <v>0</v>
      </c>
      <c r="L470" s="13">
        <v>2</v>
      </c>
      <c r="M470" s="13"/>
      <c r="N470" s="13"/>
      <c r="O470" s="13"/>
      <c r="P470" s="13"/>
      <c r="Q470" s="13"/>
      <c r="R470" s="13" t="s">
        <v>9</v>
      </c>
      <c r="S470" s="13" t="s">
        <v>9</v>
      </c>
    </row>
    <row r="471" spans="2:19">
      <c r="B471" s="13"/>
      <c r="C471" s="14">
        <v>250832</v>
      </c>
      <c r="D471" s="13" t="s">
        <v>211</v>
      </c>
      <c r="E471" s="13" t="s">
        <v>221</v>
      </c>
      <c r="F471" s="13"/>
      <c r="G471" s="13" t="s">
        <v>81</v>
      </c>
      <c r="H471" s="13" t="s">
        <v>217</v>
      </c>
      <c r="I471" s="13">
        <v>3</v>
      </c>
      <c r="J471" s="13">
        <v>3.5</v>
      </c>
      <c r="K471" s="13">
        <v>0</v>
      </c>
      <c r="L471" s="13">
        <v>2</v>
      </c>
      <c r="M471" s="13"/>
      <c r="N471" s="13"/>
      <c r="O471" s="13"/>
      <c r="P471" s="13"/>
      <c r="Q471" s="13"/>
      <c r="R471" s="13" t="s">
        <v>9</v>
      </c>
      <c r="S471" s="13" t="s">
        <v>9</v>
      </c>
    </row>
    <row r="472" spans="2:19">
      <c r="B472" s="13"/>
      <c r="C472" s="14">
        <v>250832</v>
      </c>
      <c r="D472" s="13" t="s">
        <v>211</v>
      </c>
      <c r="E472" s="13" t="s">
        <v>222</v>
      </c>
      <c r="F472" s="13"/>
      <c r="G472" s="13" t="s">
        <v>81</v>
      </c>
      <c r="H472" s="13" t="s">
        <v>217</v>
      </c>
      <c r="I472" s="13">
        <v>2</v>
      </c>
      <c r="J472" s="13">
        <v>14.5</v>
      </c>
      <c r="K472" s="13">
        <v>0</v>
      </c>
      <c r="L472" s="13">
        <v>2</v>
      </c>
      <c r="M472" s="13"/>
      <c r="N472" s="13"/>
      <c r="O472" s="13"/>
      <c r="P472" s="13"/>
      <c r="Q472" s="13"/>
      <c r="R472" s="13" t="s">
        <v>9</v>
      </c>
      <c r="S472" s="13" t="s">
        <v>9</v>
      </c>
    </row>
    <row r="473" spans="2:19">
      <c r="B473" s="13"/>
      <c r="C473" s="14">
        <v>250832</v>
      </c>
      <c r="D473" s="13" t="s">
        <v>211</v>
      </c>
      <c r="E473" s="13" t="s">
        <v>223</v>
      </c>
      <c r="F473" s="13"/>
      <c r="G473" s="13" t="s">
        <v>81</v>
      </c>
      <c r="H473" s="13" t="s">
        <v>217</v>
      </c>
      <c r="I473" s="13">
        <v>3</v>
      </c>
      <c r="J473" s="13">
        <v>3.92</v>
      </c>
      <c r="K473" s="13">
        <v>0</v>
      </c>
      <c r="L473" s="13">
        <v>2</v>
      </c>
      <c r="M473" s="13"/>
      <c r="N473" s="13"/>
      <c r="O473" s="13"/>
      <c r="P473" s="13"/>
      <c r="Q473" s="13"/>
      <c r="R473" s="13" t="s">
        <v>9</v>
      </c>
      <c r="S473" s="13" t="s">
        <v>9</v>
      </c>
    </row>
    <row r="474" spans="2:19">
      <c r="B474" s="13"/>
      <c r="C474" s="14">
        <v>250832</v>
      </c>
      <c r="D474" s="13" t="s">
        <v>211</v>
      </c>
      <c r="E474" s="13" t="s">
        <v>224</v>
      </c>
      <c r="F474" s="13"/>
      <c r="G474" s="13" t="s">
        <v>81</v>
      </c>
      <c r="H474" s="13" t="s">
        <v>217</v>
      </c>
      <c r="I474" s="13">
        <v>6</v>
      </c>
      <c r="J474" s="13">
        <v>7.07</v>
      </c>
      <c r="K474" s="13">
        <v>0</v>
      </c>
      <c r="L474" s="13">
        <v>2</v>
      </c>
      <c r="M474" s="13"/>
      <c r="N474" s="13"/>
      <c r="O474" s="13"/>
      <c r="P474" s="13"/>
      <c r="Q474" s="13"/>
      <c r="R474" s="13" t="s">
        <v>9</v>
      </c>
      <c r="S474" s="13" t="s">
        <v>9</v>
      </c>
    </row>
    <row r="475" spans="2:19">
      <c r="B475" s="13"/>
      <c r="C475" s="14">
        <v>250832</v>
      </c>
      <c r="D475" s="13" t="s">
        <v>211</v>
      </c>
      <c r="E475" s="13" t="s">
        <v>225</v>
      </c>
      <c r="F475" s="13"/>
      <c r="G475" s="13" t="s">
        <v>81</v>
      </c>
      <c r="H475" s="13" t="s">
        <v>217</v>
      </c>
      <c r="I475" s="13">
        <v>4</v>
      </c>
      <c r="J475" s="13">
        <v>6</v>
      </c>
      <c r="K475" s="13">
        <v>0</v>
      </c>
      <c r="L475" s="13">
        <v>2</v>
      </c>
      <c r="M475" s="13"/>
      <c r="N475" s="13"/>
      <c r="O475" s="13"/>
      <c r="P475" s="13"/>
      <c r="Q475" s="13"/>
      <c r="R475" s="13" t="s">
        <v>226</v>
      </c>
      <c r="S475" s="13" t="s">
        <v>9</v>
      </c>
    </row>
    <row r="476" spans="2:19">
      <c r="B476" s="13"/>
      <c r="C476" s="14">
        <v>250832</v>
      </c>
      <c r="D476" s="13" t="s">
        <v>211</v>
      </c>
      <c r="E476" s="13" t="s">
        <v>227</v>
      </c>
      <c r="F476" s="13"/>
      <c r="G476" s="13" t="s">
        <v>81</v>
      </c>
      <c r="H476" s="13" t="s">
        <v>217</v>
      </c>
      <c r="I476" s="13">
        <v>5</v>
      </c>
      <c r="J476" s="13">
        <v>10.5</v>
      </c>
      <c r="K476" s="13">
        <v>0</v>
      </c>
      <c r="L476" s="13">
        <v>2</v>
      </c>
      <c r="M476" s="13"/>
      <c r="N476" s="13"/>
      <c r="O476" s="13"/>
      <c r="P476" s="13"/>
      <c r="Q476" s="13"/>
      <c r="R476" s="13" t="s">
        <v>9</v>
      </c>
      <c r="S476" s="13" t="s">
        <v>9</v>
      </c>
    </row>
    <row r="477" spans="2:19">
      <c r="B477" s="13"/>
      <c r="C477" s="14">
        <v>250832</v>
      </c>
      <c r="D477" s="13" t="s">
        <v>211</v>
      </c>
      <c r="E477" s="13" t="s">
        <v>329</v>
      </c>
      <c r="F477" s="13"/>
      <c r="G477" s="13" t="s">
        <v>81</v>
      </c>
      <c r="H477" s="13" t="s">
        <v>217</v>
      </c>
      <c r="I477" s="13">
        <v>3</v>
      </c>
      <c r="J477" s="13">
        <v>4.5</v>
      </c>
      <c r="K477" s="13">
        <v>0</v>
      </c>
      <c r="L477" s="13">
        <v>2</v>
      </c>
      <c r="M477" s="13"/>
      <c r="N477" s="13"/>
      <c r="O477" s="13"/>
      <c r="P477" s="13"/>
      <c r="Q477" s="13"/>
      <c r="R477" s="13" t="s">
        <v>226</v>
      </c>
      <c r="S477" s="13" t="s">
        <v>9</v>
      </c>
    </row>
    <row r="478" spans="2:19">
      <c r="B478" s="13"/>
      <c r="C478" s="14">
        <v>250832</v>
      </c>
      <c r="D478" s="13" t="s">
        <v>211</v>
      </c>
      <c r="E478" s="13" t="s">
        <v>330</v>
      </c>
      <c r="F478" s="13"/>
      <c r="G478" s="13" t="s">
        <v>35</v>
      </c>
      <c r="H478" s="13" t="s">
        <v>217</v>
      </c>
      <c r="I478" s="13">
        <v>7</v>
      </c>
      <c r="J478" s="13">
        <v>17</v>
      </c>
      <c r="K478" s="13">
        <v>0</v>
      </c>
      <c r="L478" s="13">
        <v>2</v>
      </c>
      <c r="M478" s="13"/>
      <c r="N478" s="13"/>
      <c r="O478" s="13"/>
      <c r="P478" s="13"/>
      <c r="Q478" s="13"/>
      <c r="R478" s="13" t="s">
        <v>9</v>
      </c>
      <c r="S478" s="13" t="s">
        <v>9</v>
      </c>
    </row>
    <row r="479" spans="2:19">
      <c r="B479" s="13"/>
      <c r="C479" s="14">
        <v>250832</v>
      </c>
      <c r="D479" s="13" t="s">
        <v>211</v>
      </c>
      <c r="E479" s="13" t="s">
        <v>331</v>
      </c>
      <c r="F479" s="13"/>
      <c r="G479" s="13" t="s">
        <v>81</v>
      </c>
      <c r="H479" s="13" t="s">
        <v>217</v>
      </c>
      <c r="I479" s="13">
        <v>4</v>
      </c>
      <c r="J479" s="13">
        <v>2</v>
      </c>
      <c r="K479" s="13">
        <v>2</v>
      </c>
      <c r="L479" s="13">
        <v>2</v>
      </c>
      <c r="M479" s="13"/>
      <c r="N479" s="13"/>
      <c r="O479" s="13"/>
      <c r="P479" s="13"/>
      <c r="Q479" s="13"/>
      <c r="R479" s="13" t="s">
        <v>226</v>
      </c>
      <c r="S479" s="13" t="s">
        <v>9</v>
      </c>
    </row>
    <row r="480" spans="2:19">
      <c r="B480" s="13"/>
      <c r="C480" s="14">
        <v>250832</v>
      </c>
      <c r="D480" s="13" t="s">
        <v>211</v>
      </c>
      <c r="E480" s="13" t="s">
        <v>332</v>
      </c>
      <c r="F480" s="13"/>
      <c r="G480" s="13" t="s">
        <v>81</v>
      </c>
      <c r="H480" s="13" t="s">
        <v>217</v>
      </c>
      <c r="I480" s="13">
        <v>3</v>
      </c>
      <c r="J480" s="13">
        <v>1.5</v>
      </c>
      <c r="K480" s="13">
        <v>1.5</v>
      </c>
      <c r="L480" s="13">
        <v>2</v>
      </c>
      <c r="M480" s="13"/>
      <c r="N480" s="13"/>
      <c r="O480" s="13"/>
      <c r="P480" s="13"/>
      <c r="Q480" s="13"/>
      <c r="R480" s="13" t="s">
        <v>9</v>
      </c>
      <c r="S480" s="13" t="s">
        <v>9</v>
      </c>
    </row>
    <row r="481" spans="2:19">
      <c r="B481" s="13"/>
      <c r="C481" s="14">
        <v>250832</v>
      </c>
      <c r="D481" s="13" t="s">
        <v>211</v>
      </c>
      <c r="E481" s="13" t="s">
        <v>228</v>
      </c>
      <c r="F481" s="13"/>
      <c r="G481" s="13" t="s">
        <v>35</v>
      </c>
      <c r="H481" s="13" t="s">
        <v>217</v>
      </c>
      <c r="I481" s="13">
        <v>2</v>
      </c>
      <c r="J481" s="13">
        <v>1.85</v>
      </c>
      <c r="K481" s="13">
        <v>0.15</v>
      </c>
      <c r="L481" s="13">
        <v>2</v>
      </c>
      <c r="M481" s="13"/>
      <c r="N481" s="13"/>
      <c r="O481" s="13"/>
      <c r="P481" s="13"/>
      <c r="Q481" s="13"/>
      <c r="R481" s="13" t="s">
        <v>9</v>
      </c>
      <c r="S481" s="13" t="s">
        <v>9</v>
      </c>
    </row>
    <row r="482" spans="2:19">
      <c r="B482" s="13"/>
      <c r="C482" s="14">
        <v>250832</v>
      </c>
      <c r="D482" s="13" t="s">
        <v>211</v>
      </c>
      <c r="E482" s="13" t="s">
        <v>333</v>
      </c>
      <c r="F482" s="13"/>
      <c r="G482" s="13" t="s">
        <v>77</v>
      </c>
      <c r="H482" s="13" t="s">
        <v>217</v>
      </c>
      <c r="I482" s="13">
        <v>1</v>
      </c>
      <c r="J482" s="13">
        <v>0</v>
      </c>
      <c r="K482" s="13">
        <v>1</v>
      </c>
      <c r="L482" s="13">
        <v>2</v>
      </c>
      <c r="M482" s="13"/>
      <c r="N482" s="13"/>
      <c r="O482" s="13"/>
      <c r="P482" s="13"/>
      <c r="Q482" s="13"/>
      <c r="R482" s="13" t="s">
        <v>9</v>
      </c>
      <c r="S482" s="13" t="s">
        <v>9</v>
      </c>
    </row>
    <row r="483" spans="2:19">
      <c r="B483" s="13"/>
      <c r="C483" s="14">
        <v>250832</v>
      </c>
      <c r="D483" s="13" t="s">
        <v>211</v>
      </c>
      <c r="E483" s="13" t="s">
        <v>220</v>
      </c>
      <c r="F483" s="13"/>
      <c r="G483" s="13" t="s">
        <v>77</v>
      </c>
      <c r="H483" s="13" t="s">
        <v>217</v>
      </c>
      <c r="I483" s="13">
        <v>1</v>
      </c>
      <c r="J483" s="13">
        <v>0</v>
      </c>
      <c r="K483" s="13">
        <v>1</v>
      </c>
      <c r="L483" s="13">
        <v>2</v>
      </c>
      <c r="M483" s="13"/>
      <c r="N483" s="13"/>
      <c r="O483" s="13"/>
      <c r="P483" s="13"/>
      <c r="Q483" s="13"/>
      <c r="R483" s="13" t="s">
        <v>9</v>
      </c>
      <c r="S483" s="13" t="s">
        <v>9</v>
      </c>
    </row>
    <row r="484" spans="2:19">
      <c r="B484" s="13"/>
      <c r="C484" s="14">
        <v>250832</v>
      </c>
      <c r="D484" s="13" t="s">
        <v>211</v>
      </c>
      <c r="E484" s="13" t="s">
        <v>334</v>
      </c>
      <c r="F484" s="13"/>
      <c r="G484" s="13" t="s">
        <v>77</v>
      </c>
      <c r="H484" s="13" t="s">
        <v>217</v>
      </c>
      <c r="I484" s="13">
        <v>2</v>
      </c>
      <c r="J484" s="13">
        <v>0</v>
      </c>
      <c r="K484" s="13">
        <v>2</v>
      </c>
      <c r="L484" s="13">
        <v>2</v>
      </c>
      <c r="M484" s="13"/>
      <c r="N484" s="13"/>
      <c r="O484" s="13"/>
      <c r="P484" s="13"/>
      <c r="Q484" s="13"/>
      <c r="R484" s="13" t="s">
        <v>9</v>
      </c>
      <c r="S484" s="13" t="s">
        <v>9</v>
      </c>
    </row>
    <row r="485" spans="2:19">
      <c r="B485" s="13"/>
      <c r="C485" s="14">
        <v>250832</v>
      </c>
      <c r="D485" s="13" t="s">
        <v>211</v>
      </c>
      <c r="E485" s="13" t="s">
        <v>335</v>
      </c>
      <c r="F485" s="13"/>
      <c r="G485" s="13" t="s">
        <v>81</v>
      </c>
      <c r="H485" s="13" t="s">
        <v>217</v>
      </c>
      <c r="I485" s="13">
        <v>5</v>
      </c>
      <c r="J485" s="13">
        <v>4</v>
      </c>
      <c r="K485" s="13">
        <v>1</v>
      </c>
      <c r="L485" s="13">
        <v>2</v>
      </c>
      <c r="M485" s="13"/>
      <c r="N485" s="13"/>
      <c r="O485" s="13"/>
      <c r="P485" s="13"/>
      <c r="Q485" s="13"/>
      <c r="R485" s="13" t="s">
        <v>9</v>
      </c>
      <c r="S485" s="13" t="s">
        <v>9</v>
      </c>
    </row>
    <row r="486" spans="2:19">
      <c r="B486" s="13"/>
      <c r="C486" s="14">
        <v>250832</v>
      </c>
      <c r="D486" s="13" t="s">
        <v>211</v>
      </c>
      <c r="E486" s="13" t="s">
        <v>230</v>
      </c>
      <c r="F486" s="13"/>
      <c r="G486" s="13" t="s">
        <v>35</v>
      </c>
      <c r="H486" s="13" t="s">
        <v>23</v>
      </c>
      <c r="I486" s="13">
        <v>4</v>
      </c>
      <c r="J486" s="13">
        <v>4</v>
      </c>
      <c r="K486" s="13">
        <v>0</v>
      </c>
      <c r="L486" s="13">
        <v>2</v>
      </c>
      <c r="M486" s="13"/>
      <c r="N486" s="13"/>
      <c r="O486" s="13"/>
      <c r="P486" s="13"/>
      <c r="Q486" s="13"/>
      <c r="R486" s="13" t="s">
        <v>226</v>
      </c>
      <c r="S486" s="13" t="s">
        <v>9</v>
      </c>
    </row>
    <row r="487" spans="2:19">
      <c r="B487" s="13"/>
      <c r="C487" s="14">
        <v>250832</v>
      </c>
      <c r="D487" s="13" t="s">
        <v>211</v>
      </c>
      <c r="E487" s="13" t="s">
        <v>231</v>
      </c>
      <c r="F487" s="13"/>
      <c r="G487" s="13" t="s">
        <v>35</v>
      </c>
      <c r="H487" s="13" t="s">
        <v>23</v>
      </c>
      <c r="I487" s="13">
        <v>5</v>
      </c>
      <c r="J487" s="13">
        <v>4</v>
      </c>
      <c r="K487" s="13">
        <v>1</v>
      </c>
      <c r="L487" s="13">
        <v>2</v>
      </c>
      <c r="M487" s="13"/>
      <c r="N487" s="13"/>
      <c r="O487" s="13"/>
      <c r="P487" s="13"/>
      <c r="Q487" s="13"/>
      <c r="R487" s="13" t="s">
        <v>9</v>
      </c>
      <c r="S487" s="13" t="s">
        <v>9</v>
      </c>
    </row>
    <row r="488" spans="2:19">
      <c r="B488" s="13"/>
      <c r="C488" s="14">
        <v>250832</v>
      </c>
      <c r="D488" s="13" t="s">
        <v>211</v>
      </c>
      <c r="E488" s="13" t="s">
        <v>229</v>
      </c>
      <c r="F488" s="13"/>
      <c r="G488" s="13" t="s">
        <v>35</v>
      </c>
      <c r="H488" s="13" t="s">
        <v>23</v>
      </c>
      <c r="I488" s="13">
        <v>7</v>
      </c>
      <c r="J488" s="13">
        <v>10.58</v>
      </c>
      <c r="K488" s="13">
        <v>0</v>
      </c>
      <c r="L488" s="13">
        <v>2</v>
      </c>
      <c r="M488" s="13"/>
      <c r="N488" s="13"/>
      <c r="O488" s="13"/>
      <c r="P488" s="13"/>
      <c r="Q488" s="13"/>
      <c r="R488" s="13" t="s">
        <v>226</v>
      </c>
      <c r="S488" s="13" t="s">
        <v>9</v>
      </c>
    </row>
    <row r="489" spans="2:19">
      <c r="B489" s="13"/>
      <c r="C489" s="14">
        <v>250832</v>
      </c>
      <c r="D489" s="13" t="s">
        <v>211</v>
      </c>
      <c r="E489" s="13" t="s">
        <v>336</v>
      </c>
      <c r="F489" s="13"/>
      <c r="G489" s="13" t="s">
        <v>35</v>
      </c>
      <c r="H489" s="13" t="s">
        <v>23</v>
      </c>
      <c r="I489" s="13">
        <v>2</v>
      </c>
      <c r="J489" s="13">
        <v>2</v>
      </c>
      <c r="K489" s="13">
        <v>0</v>
      </c>
      <c r="L489" s="13">
        <v>2</v>
      </c>
      <c r="M489" s="13"/>
      <c r="N489" s="13"/>
      <c r="O489" s="13"/>
      <c r="P489" s="13"/>
      <c r="Q489" s="13"/>
      <c r="R489" s="13" t="s">
        <v>226</v>
      </c>
      <c r="S489" s="13" t="s">
        <v>9</v>
      </c>
    </row>
    <row r="490" spans="2:19">
      <c r="B490" s="13"/>
      <c r="C490" s="14">
        <v>250832</v>
      </c>
      <c r="D490" s="13" t="s">
        <v>211</v>
      </c>
      <c r="E490" s="13" t="s">
        <v>337</v>
      </c>
      <c r="F490" s="13"/>
      <c r="G490" s="13" t="s">
        <v>35</v>
      </c>
      <c r="H490" s="13" t="s">
        <v>23</v>
      </c>
      <c r="I490" s="13">
        <v>3</v>
      </c>
      <c r="J490" s="13">
        <v>5</v>
      </c>
      <c r="K490" s="13">
        <v>0</v>
      </c>
      <c r="L490" s="13">
        <v>2</v>
      </c>
      <c r="M490" s="13"/>
      <c r="N490" s="13"/>
      <c r="O490" s="13"/>
      <c r="P490" s="13"/>
      <c r="Q490" s="13"/>
      <c r="R490" s="13" t="s">
        <v>9</v>
      </c>
      <c r="S490" s="13" t="s">
        <v>9</v>
      </c>
    </row>
    <row r="491" spans="2:19">
      <c r="B491" s="13"/>
      <c r="C491" s="14">
        <v>250832</v>
      </c>
      <c r="D491" s="13" t="s">
        <v>211</v>
      </c>
      <c r="E491" s="13" t="s">
        <v>338</v>
      </c>
      <c r="F491" s="13"/>
      <c r="G491" s="13" t="s">
        <v>35</v>
      </c>
      <c r="H491" s="13" t="s">
        <v>23</v>
      </c>
      <c r="I491" s="13">
        <v>2</v>
      </c>
      <c r="J491" s="13">
        <v>3.27</v>
      </c>
      <c r="K491" s="13">
        <v>0</v>
      </c>
      <c r="L491" s="13">
        <v>2</v>
      </c>
      <c r="M491" s="13"/>
      <c r="N491" s="13"/>
      <c r="O491" s="13"/>
      <c r="P491" s="13"/>
      <c r="Q491" s="13"/>
      <c r="R491" s="13" t="s">
        <v>9</v>
      </c>
      <c r="S491" s="13" t="s">
        <v>9</v>
      </c>
    </row>
    <row r="492" spans="2:19">
      <c r="B492" s="13"/>
      <c r="C492" s="14">
        <v>250832</v>
      </c>
      <c r="D492" s="13" t="s">
        <v>211</v>
      </c>
      <c r="E492" s="13" t="s">
        <v>339</v>
      </c>
      <c r="F492" s="13"/>
      <c r="G492" s="13" t="s">
        <v>35</v>
      </c>
      <c r="H492" s="13" t="s">
        <v>23</v>
      </c>
      <c r="I492" s="13">
        <v>3</v>
      </c>
      <c r="J492" s="13">
        <v>4.25</v>
      </c>
      <c r="K492" s="13">
        <v>0</v>
      </c>
      <c r="L492" s="13">
        <v>2</v>
      </c>
      <c r="M492" s="13"/>
      <c r="N492" s="13"/>
      <c r="O492" s="13"/>
      <c r="P492" s="13"/>
      <c r="Q492" s="13"/>
      <c r="R492" s="13" t="s">
        <v>226</v>
      </c>
      <c r="S492" s="13" t="s">
        <v>9</v>
      </c>
    </row>
    <row r="493" spans="2:19">
      <c r="B493" s="13"/>
      <c r="C493" s="14">
        <v>242628</v>
      </c>
      <c r="D493" s="13" t="s">
        <v>211</v>
      </c>
      <c r="E493" s="13" t="s">
        <v>241</v>
      </c>
      <c r="F493" s="13"/>
      <c r="G493" s="13" t="s">
        <v>81</v>
      </c>
      <c r="H493" s="13" t="s">
        <v>12</v>
      </c>
      <c r="I493" s="13">
        <v>4</v>
      </c>
      <c r="J493" s="13">
        <v>4</v>
      </c>
      <c r="K493" s="13">
        <v>0</v>
      </c>
      <c r="L493" s="13">
        <v>2</v>
      </c>
      <c r="M493" s="13"/>
      <c r="N493" s="13"/>
      <c r="O493" s="13"/>
      <c r="P493" s="13"/>
      <c r="Q493" s="13" t="s">
        <v>340</v>
      </c>
      <c r="R493" s="13" t="s">
        <v>8</v>
      </c>
      <c r="S493" s="13" t="s">
        <v>13</v>
      </c>
    </row>
    <row r="494" spans="2:19">
      <c r="B494" s="13"/>
      <c r="C494" s="14">
        <v>242628</v>
      </c>
      <c r="D494" s="13" t="s">
        <v>211</v>
      </c>
      <c r="E494" s="13" t="s">
        <v>242</v>
      </c>
      <c r="F494" s="13"/>
      <c r="G494" s="13" t="s">
        <v>81</v>
      </c>
      <c r="H494" s="13" t="s">
        <v>10</v>
      </c>
      <c r="I494" s="13">
        <v>4</v>
      </c>
      <c r="J494" s="13">
        <v>4</v>
      </c>
      <c r="K494" s="13">
        <v>0</v>
      </c>
      <c r="L494" s="13">
        <v>2</v>
      </c>
      <c r="M494" s="13"/>
      <c r="N494" s="13"/>
      <c r="O494" s="13"/>
      <c r="P494" s="13"/>
      <c r="Q494" s="13" t="s">
        <v>83</v>
      </c>
      <c r="R494" s="13" t="s">
        <v>8</v>
      </c>
      <c r="S494" s="13" t="s">
        <v>13</v>
      </c>
    </row>
    <row r="495" spans="2:19">
      <c r="B495" s="13"/>
      <c r="C495" s="14">
        <v>242628</v>
      </c>
      <c r="D495" s="13" t="s">
        <v>211</v>
      </c>
      <c r="E495" s="13" t="s">
        <v>341</v>
      </c>
      <c r="F495" s="13"/>
      <c r="G495" s="13" t="s">
        <v>81</v>
      </c>
      <c r="H495" s="13" t="s">
        <v>14</v>
      </c>
      <c r="I495" s="13">
        <v>14</v>
      </c>
      <c r="J495" s="13">
        <v>15</v>
      </c>
      <c r="K495" s="13">
        <v>0</v>
      </c>
      <c r="L495" s="13">
        <v>2</v>
      </c>
      <c r="M495" s="13"/>
      <c r="N495" s="13"/>
      <c r="O495" s="13"/>
      <c r="P495" s="13"/>
      <c r="Q495" s="13"/>
      <c r="R495" s="13" t="s">
        <v>277</v>
      </c>
      <c r="S495" s="13" t="s">
        <v>15</v>
      </c>
    </row>
    <row r="496" spans="2:19">
      <c r="B496" s="13"/>
      <c r="C496" s="14">
        <v>247747</v>
      </c>
      <c r="D496" s="13" t="s">
        <v>211</v>
      </c>
      <c r="E496" s="13" t="s">
        <v>243</v>
      </c>
      <c r="F496" s="13"/>
      <c r="G496" s="13" t="s">
        <v>81</v>
      </c>
      <c r="H496" s="13" t="s">
        <v>23</v>
      </c>
      <c r="I496" s="13">
        <v>2</v>
      </c>
      <c r="J496" s="13">
        <v>1.5</v>
      </c>
      <c r="K496" s="13">
        <v>0</v>
      </c>
      <c r="L496" s="13">
        <v>2</v>
      </c>
      <c r="M496" s="13"/>
      <c r="N496" s="13"/>
      <c r="O496" s="13"/>
      <c r="P496" s="13"/>
      <c r="Q496" s="13" t="s">
        <v>83</v>
      </c>
      <c r="R496" s="13" t="s">
        <v>9</v>
      </c>
      <c r="S496" s="13" t="s">
        <v>9</v>
      </c>
    </row>
    <row r="497" spans="2:19">
      <c r="B497" s="13"/>
      <c r="C497" s="14">
        <v>247748</v>
      </c>
      <c r="D497" s="13" t="s">
        <v>211</v>
      </c>
      <c r="E497" s="13" t="s">
        <v>341</v>
      </c>
      <c r="F497" s="13"/>
      <c r="G497" s="13" t="s">
        <v>81</v>
      </c>
      <c r="H497" s="13" t="s">
        <v>14</v>
      </c>
      <c r="I497" s="13">
        <v>14</v>
      </c>
      <c r="J497" s="13">
        <v>15</v>
      </c>
      <c r="K497" s="13">
        <v>0</v>
      </c>
      <c r="L497" s="13">
        <v>2</v>
      </c>
      <c r="M497" s="13"/>
      <c r="N497" s="13"/>
      <c r="O497" s="13"/>
      <c r="P497" s="13"/>
      <c r="Q497" s="13"/>
      <c r="R497" s="13" t="s">
        <v>277</v>
      </c>
      <c r="S497" s="13" t="s">
        <v>15</v>
      </c>
    </row>
    <row r="498" spans="2:19">
      <c r="B498" s="13"/>
      <c r="C498" s="14">
        <v>244767</v>
      </c>
      <c r="D498" s="13" t="s">
        <v>211</v>
      </c>
      <c r="E498" s="13" t="s">
        <v>244</v>
      </c>
      <c r="F498" s="13"/>
      <c r="G498" s="13" t="s">
        <v>81</v>
      </c>
      <c r="H498" s="13" t="s">
        <v>10</v>
      </c>
      <c r="I498" s="13">
        <v>4</v>
      </c>
      <c r="J498" s="13">
        <v>4</v>
      </c>
      <c r="K498" s="13">
        <v>0</v>
      </c>
      <c r="L498" s="13">
        <v>2</v>
      </c>
      <c r="M498" s="13"/>
      <c r="N498" s="13"/>
      <c r="O498" s="13"/>
      <c r="P498" s="13"/>
      <c r="Q498" s="13"/>
      <c r="R498" s="13" t="s">
        <v>8</v>
      </c>
      <c r="S498" s="13" t="s">
        <v>13</v>
      </c>
    </row>
    <row r="499" spans="2:19">
      <c r="B499" s="13"/>
      <c r="C499" s="14">
        <v>244767</v>
      </c>
      <c r="D499" s="13" t="s">
        <v>211</v>
      </c>
      <c r="E499" s="13" t="s">
        <v>245</v>
      </c>
      <c r="F499" s="13"/>
      <c r="G499" s="13" t="s">
        <v>81</v>
      </c>
      <c r="H499" s="13" t="s">
        <v>10</v>
      </c>
      <c r="I499" s="13">
        <v>5</v>
      </c>
      <c r="J499" s="13">
        <v>5</v>
      </c>
      <c r="K499" s="13">
        <v>0</v>
      </c>
      <c r="L499" s="13">
        <v>2</v>
      </c>
      <c r="M499" s="13"/>
      <c r="N499" s="13"/>
      <c r="O499" s="13"/>
      <c r="P499" s="13"/>
      <c r="Q499" s="13"/>
      <c r="R499" s="13" t="s">
        <v>8</v>
      </c>
      <c r="S499" s="13" t="s">
        <v>13</v>
      </c>
    </row>
    <row r="500" spans="2:19">
      <c r="B500" s="13"/>
      <c r="C500" s="14">
        <v>244767</v>
      </c>
      <c r="D500" s="13" t="s">
        <v>211</v>
      </c>
      <c r="E500" s="13" t="s">
        <v>344</v>
      </c>
      <c r="F500" s="13"/>
      <c r="G500" s="13" t="s">
        <v>81</v>
      </c>
      <c r="H500" s="13" t="s">
        <v>10</v>
      </c>
      <c r="I500" s="13">
        <v>2</v>
      </c>
      <c r="J500" s="13">
        <v>3</v>
      </c>
      <c r="K500" s="13">
        <v>0</v>
      </c>
      <c r="L500" s="13">
        <v>2</v>
      </c>
      <c r="M500" s="13"/>
      <c r="N500" s="13"/>
      <c r="O500" s="13"/>
      <c r="P500" s="13"/>
      <c r="Q500" s="13"/>
      <c r="R500" s="13" t="s">
        <v>8</v>
      </c>
      <c r="S500" s="13" t="s">
        <v>13</v>
      </c>
    </row>
    <row r="501" spans="2:19">
      <c r="B501" s="13"/>
      <c r="C501" s="14">
        <v>244767</v>
      </c>
      <c r="D501" s="13" t="s">
        <v>211</v>
      </c>
      <c r="E501" s="13" t="s">
        <v>345</v>
      </c>
      <c r="F501" s="13"/>
      <c r="G501" s="13" t="s">
        <v>81</v>
      </c>
      <c r="H501" s="13" t="s">
        <v>10</v>
      </c>
      <c r="I501" s="13">
        <v>3</v>
      </c>
      <c r="J501" s="13">
        <v>3</v>
      </c>
      <c r="K501" s="13">
        <v>0</v>
      </c>
      <c r="L501" s="13">
        <v>2</v>
      </c>
      <c r="M501" s="13"/>
      <c r="N501" s="13"/>
      <c r="O501" s="13"/>
      <c r="P501" s="13"/>
      <c r="Q501" s="13"/>
      <c r="R501" s="13" t="s">
        <v>8</v>
      </c>
      <c r="S501" s="13" t="s">
        <v>13</v>
      </c>
    </row>
    <row r="502" spans="2:19">
      <c r="B502" s="13"/>
      <c r="C502" s="14">
        <v>244767</v>
      </c>
      <c r="D502" s="13" t="s">
        <v>211</v>
      </c>
      <c r="E502" s="13" t="s">
        <v>346</v>
      </c>
      <c r="F502" s="13"/>
      <c r="G502" s="13" t="s">
        <v>35</v>
      </c>
      <c r="H502" s="13" t="s">
        <v>10</v>
      </c>
      <c r="I502" s="13">
        <v>4</v>
      </c>
      <c r="J502" s="13">
        <v>3</v>
      </c>
      <c r="K502" s="13">
        <v>1</v>
      </c>
      <c r="L502" s="13">
        <v>2</v>
      </c>
      <c r="M502" s="13"/>
      <c r="N502" s="13"/>
      <c r="O502" s="13"/>
      <c r="P502" s="13"/>
      <c r="Q502" s="13"/>
      <c r="R502" s="13" t="s">
        <v>8</v>
      </c>
      <c r="S502" s="13" t="s">
        <v>13</v>
      </c>
    </row>
    <row r="503" spans="2:19">
      <c r="B503" s="13"/>
      <c r="C503" s="14">
        <v>244767</v>
      </c>
      <c r="D503" s="13" t="s">
        <v>211</v>
      </c>
      <c r="E503" s="13" t="s">
        <v>347</v>
      </c>
      <c r="F503" s="13"/>
      <c r="G503" s="13" t="s">
        <v>81</v>
      </c>
      <c r="H503" s="13" t="s">
        <v>10</v>
      </c>
      <c r="I503" s="13">
        <v>2</v>
      </c>
      <c r="J503" s="13">
        <v>5</v>
      </c>
      <c r="K503" s="13">
        <v>0</v>
      </c>
      <c r="L503" s="13">
        <v>2</v>
      </c>
      <c r="M503" s="13"/>
      <c r="N503" s="13"/>
      <c r="O503" s="13"/>
      <c r="P503" s="13"/>
      <c r="Q503" s="13"/>
      <c r="R503" s="13" t="s">
        <v>8</v>
      </c>
      <c r="S503" s="13" t="s">
        <v>13</v>
      </c>
    </row>
    <row r="504" spans="2:19">
      <c r="B504" s="13"/>
      <c r="C504" s="14">
        <v>244767</v>
      </c>
      <c r="D504" s="13" t="s">
        <v>211</v>
      </c>
      <c r="E504" s="13" t="s">
        <v>348</v>
      </c>
      <c r="F504" s="13"/>
      <c r="G504" s="13" t="s">
        <v>81</v>
      </c>
      <c r="H504" s="13" t="s">
        <v>10</v>
      </c>
      <c r="I504" s="13">
        <v>4</v>
      </c>
      <c r="J504" s="13">
        <v>4</v>
      </c>
      <c r="K504" s="13">
        <v>0</v>
      </c>
      <c r="L504" s="13">
        <v>2</v>
      </c>
      <c r="M504" s="13"/>
      <c r="N504" s="13"/>
      <c r="O504" s="13"/>
      <c r="P504" s="13"/>
      <c r="Q504" s="13" t="s">
        <v>83</v>
      </c>
      <c r="R504" s="13" t="s">
        <v>8</v>
      </c>
      <c r="S504" s="13" t="s">
        <v>13</v>
      </c>
    </row>
    <row r="505" spans="2:19">
      <c r="B505" s="13"/>
      <c r="C505" s="14">
        <v>244767</v>
      </c>
      <c r="D505" s="13" t="s">
        <v>211</v>
      </c>
      <c r="E505" s="13" t="s">
        <v>349</v>
      </c>
      <c r="F505" s="13"/>
      <c r="G505" s="13" t="s">
        <v>81</v>
      </c>
      <c r="H505" s="13" t="s">
        <v>10</v>
      </c>
      <c r="I505" s="13">
        <v>0</v>
      </c>
      <c r="J505" s="13">
        <v>20.5</v>
      </c>
      <c r="K505" s="13">
        <v>0</v>
      </c>
      <c r="L505" s="13">
        <v>2</v>
      </c>
      <c r="M505" s="13"/>
      <c r="N505" s="13"/>
      <c r="O505" s="13"/>
      <c r="P505" s="13"/>
      <c r="Q505" s="13"/>
      <c r="R505" s="13" t="s">
        <v>8</v>
      </c>
      <c r="S505" s="13" t="s">
        <v>13</v>
      </c>
    </row>
    <row r="506" spans="2:19">
      <c r="B506" s="13"/>
      <c r="C506" s="14">
        <v>244764</v>
      </c>
      <c r="D506" s="13" t="s">
        <v>211</v>
      </c>
      <c r="E506" s="13" t="s">
        <v>351</v>
      </c>
      <c r="F506" s="13"/>
      <c r="G506" s="13" t="s">
        <v>81</v>
      </c>
      <c r="H506" s="13" t="s">
        <v>10</v>
      </c>
      <c r="I506" s="13">
        <v>0.5</v>
      </c>
      <c r="J506" s="13">
        <v>0.5</v>
      </c>
      <c r="K506" s="13">
        <v>0</v>
      </c>
      <c r="L506" s="13">
        <v>2</v>
      </c>
      <c r="M506" s="13"/>
      <c r="N506" s="13"/>
      <c r="O506" s="13"/>
      <c r="P506" s="13"/>
      <c r="Q506" s="13"/>
      <c r="R506" s="13" t="s">
        <v>8</v>
      </c>
      <c r="S506" s="13" t="s">
        <v>13</v>
      </c>
    </row>
    <row r="507" spans="2:19">
      <c r="B507" s="13"/>
      <c r="C507" s="14">
        <v>244770</v>
      </c>
      <c r="D507" s="13" t="s">
        <v>211</v>
      </c>
      <c r="E507" s="13" t="s">
        <v>352</v>
      </c>
      <c r="F507" s="13"/>
      <c r="G507" s="13" t="s">
        <v>81</v>
      </c>
      <c r="H507" s="13" t="s">
        <v>20</v>
      </c>
      <c r="I507" s="13">
        <v>2</v>
      </c>
      <c r="J507" s="13">
        <v>2</v>
      </c>
      <c r="K507" s="13">
        <v>0</v>
      </c>
      <c r="L507" s="13">
        <v>2</v>
      </c>
      <c r="M507" s="13"/>
      <c r="N507" s="13"/>
      <c r="O507" s="13"/>
      <c r="P507" s="13"/>
      <c r="Q507" s="13" t="s">
        <v>93</v>
      </c>
      <c r="R507" s="13" t="s">
        <v>8</v>
      </c>
      <c r="S507" s="13" t="s">
        <v>8</v>
      </c>
    </row>
    <row r="508" spans="2:19">
      <c r="B508" s="13"/>
      <c r="C508" s="14">
        <v>242629</v>
      </c>
      <c r="D508" s="13" t="s">
        <v>211</v>
      </c>
      <c r="E508" s="13" t="s">
        <v>248</v>
      </c>
      <c r="F508" s="13"/>
      <c r="G508" s="13" t="s">
        <v>35</v>
      </c>
      <c r="H508" s="13" t="s">
        <v>23</v>
      </c>
      <c r="I508" s="13">
        <v>2</v>
      </c>
      <c r="J508" s="13">
        <v>2</v>
      </c>
      <c r="K508" s="13">
        <v>0</v>
      </c>
      <c r="L508" s="13">
        <v>2</v>
      </c>
      <c r="M508" s="13"/>
      <c r="N508" s="13"/>
      <c r="O508" s="13"/>
      <c r="P508" s="13"/>
      <c r="Q508" s="13"/>
      <c r="R508" s="13" t="s">
        <v>9</v>
      </c>
      <c r="S508" s="13" t="s">
        <v>9</v>
      </c>
    </row>
    <row r="509" spans="2:19">
      <c r="B509" s="13"/>
      <c r="C509" s="14">
        <v>242629</v>
      </c>
      <c r="D509" s="13" t="s">
        <v>211</v>
      </c>
      <c r="E509" s="13" t="s">
        <v>249</v>
      </c>
      <c r="F509" s="13"/>
      <c r="G509" s="13" t="s">
        <v>35</v>
      </c>
      <c r="H509" s="13" t="s">
        <v>23</v>
      </c>
      <c r="I509" s="13">
        <v>2</v>
      </c>
      <c r="J509" s="13">
        <v>2</v>
      </c>
      <c r="K509" s="13">
        <v>0</v>
      </c>
      <c r="L509" s="13">
        <v>2</v>
      </c>
      <c r="M509" s="13"/>
      <c r="N509" s="13"/>
      <c r="O509" s="13"/>
      <c r="P509" s="13"/>
      <c r="Q509" s="13"/>
      <c r="R509" s="13" t="s">
        <v>9</v>
      </c>
      <c r="S509" s="13" t="s">
        <v>9</v>
      </c>
    </row>
    <row r="510" spans="2:19">
      <c r="B510" s="13"/>
      <c r="C510" s="14">
        <v>242629</v>
      </c>
      <c r="D510" s="13" t="s">
        <v>211</v>
      </c>
      <c r="E510" s="13" t="s">
        <v>250</v>
      </c>
      <c r="F510" s="13"/>
      <c r="G510" s="13" t="s">
        <v>35</v>
      </c>
      <c r="H510" s="13" t="s">
        <v>23</v>
      </c>
      <c r="I510" s="13">
        <v>2</v>
      </c>
      <c r="J510" s="13">
        <v>0.25</v>
      </c>
      <c r="K510" s="13">
        <v>1.75</v>
      </c>
      <c r="L510" s="13">
        <v>2</v>
      </c>
      <c r="M510" s="13"/>
      <c r="N510" s="13"/>
      <c r="O510" s="13"/>
      <c r="P510" s="13"/>
      <c r="Q510" s="13"/>
      <c r="R510" s="13" t="s">
        <v>9</v>
      </c>
      <c r="S510" s="13" t="s">
        <v>9</v>
      </c>
    </row>
    <row r="511" spans="2:19">
      <c r="B511" s="13"/>
      <c r="C511" s="14">
        <v>242629</v>
      </c>
      <c r="D511" s="13" t="s">
        <v>211</v>
      </c>
      <c r="E511" s="13" t="s">
        <v>251</v>
      </c>
      <c r="F511" s="13"/>
      <c r="G511" s="13" t="s">
        <v>81</v>
      </c>
      <c r="H511" s="13" t="s">
        <v>23</v>
      </c>
      <c r="I511" s="13">
        <v>2</v>
      </c>
      <c r="J511" s="13">
        <v>1</v>
      </c>
      <c r="K511" s="13">
        <v>0</v>
      </c>
      <c r="L511" s="13">
        <v>2</v>
      </c>
      <c r="M511" s="13"/>
      <c r="N511" s="13"/>
      <c r="O511" s="13"/>
      <c r="P511" s="13"/>
      <c r="Q511" s="13"/>
      <c r="R511" s="13" t="s">
        <v>9</v>
      </c>
      <c r="S511" s="13" t="s">
        <v>9</v>
      </c>
    </row>
    <row r="512" spans="2:19">
      <c r="B512" s="13"/>
      <c r="C512" s="14">
        <v>244768</v>
      </c>
      <c r="D512" s="13" t="s">
        <v>211</v>
      </c>
      <c r="E512" s="13" t="s">
        <v>252</v>
      </c>
      <c r="F512" s="13"/>
      <c r="G512" s="13" t="s">
        <v>81</v>
      </c>
      <c r="H512" s="13" t="s">
        <v>23</v>
      </c>
      <c r="I512" s="13">
        <v>2</v>
      </c>
      <c r="J512" s="13">
        <v>1</v>
      </c>
      <c r="K512" s="13">
        <v>0</v>
      </c>
      <c r="L512" s="13">
        <v>2</v>
      </c>
      <c r="M512" s="13"/>
      <c r="N512" s="13"/>
      <c r="O512" s="13"/>
      <c r="P512" s="13"/>
      <c r="Q512" s="13"/>
      <c r="R512" s="13" t="s">
        <v>9</v>
      </c>
      <c r="S512" s="13" t="s">
        <v>9</v>
      </c>
    </row>
    <row r="513" spans="2:19">
      <c r="B513" s="13"/>
      <c r="C513" s="14">
        <v>244768</v>
      </c>
      <c r="D513" s="13" t="s">
        <v>211</v>
      </c>
      <c r="E513" s="13" t="s">
        <v>353</v>
      </c>
      <c r="F513" s="13"/>
      <c r="G513" s="13" t="s">
        <v>35</v>
      </c>
      <c r="H513" s="13" t="s">
        <v>10</v>
      </c>
      <c r="I513" s="13">
        <v>7</v>
      </c>
      <c r="J513" s="13">
        <v>6</v>
      </c>
      <c r="K513" s="13">
        <v>1</v>
      </c>
      <c r="L513" s="13">
        <v>2</v>
      </c>
      <c r="M513" s="13"/>
      <c r="N513" s="13"/>
      <c r="O513" s="13"/>
      <c r="P513" s="13"/>
      <c r="Q513" s="13"/>
      <c r="R513" s="13" t="s">
        <v>8</v>
      </c>
      <c r="S513" s="13" t="s">
        <v>13</v>
      </c>
    </row>
    <row r="514" spans="2:19">
      <c r="B514" s="13"/>
      <c r="C514" s="14">
        <v>244768</v>
      </c>
      <c r="D514" s="13" t="s">
        <v>211</v>
      </c>
      <c r="E514" s="13" t="s">
        <v>354</v>
      </c>
      <c r="F514" s="13"/>
      <c r="G514" s="13" t="s">
        <v>38</v>
      </c>
      <c r="H514" s="13" t="s">
        <v>10</v>
      </c>
      <c r="I514" s="13">
        <v>4</v>
      </c>
      <c r="J514" s="13">
        <v>5</v>
      </c>
      <c r="K514" s="13">
        <v>1</v>
      </c>
      <c r="L514" s="13">
        <v>2</v>
      </c>
      <c r="M514" s="13"/>
      <c r="N514" s="13"/>
      <c r="O514" s="13"/>
      <c r="P514" s="13"/>
      <c r="Q514" s="13"/>
      <c r="R514" s="13" t="s">
        <v>8</v>
      </c>
      <c r="S514" s="13" t="s">
        <v>13</v>
      </c>
    </row>
    <row r="515" spans="2:19">
      <c r="B515" s="13"/>
      <c r="C515" s="14">
        <v>244768</v>
      </c>
      <c r="D515" s="13" t="s">
        <v>211</v>
      </c>
      <c r="E515" s="13" t="s">
        <v>355</v>
      </c>
      <c r="F515" s="13"/>
      <c r="G515" s="13" t="s">
        <v>38</v>
      </c>
      <c r="H515" s="13" t="s">
        <v>10</v>
      </c>
      <c r="I515" s="13">
        <v>3</v>
      </c>
      <c r="J515" s="13">
        <v>0</v>
      </c>
      <c r="K515" s="13">
        <v>3</v>
      </c>
      <c r="L515" s="13">
        <v>2</v>
      </c>
      <c r="M515" s="13"/>
      <c r="N515" s="13"/>
      <c r="O515" s="13"/>
      <c r="P515" s="13"/>
      <c r="Q515" s="13"/>
      <c r="R515" s="13" t="s">
        <v>8</v>
      </c>
      <c r="S515" s="13" t="s">
        <v>13</v>
      </c>
    </row>
    <row r="516" spans="2:19">
      <c r="B516" s="13"/>
      <c r="C516" s="14">
        <v>244768</v>
      </c>
      <c r="D516" s="13" t="s">
        <v>211</v>
      </c>
      <c r="E516" s="13" t="s">
        <v>356</v>
      </c>
      <c r="F516" s="13"/>
      <c r="G516" s="13" t="s">
        <v>35</v>
      </c>
      <c r="H516" s="13" t="s">
        <v>10</v>
      </c>
      <c r="I516" s="13">
        <v>2</v>
      </c>
      <c r="J516" s="13">
        <v>1</v>
      </c>
      <c r="K516" s="13">
        <v>1</v>
      </c>
      <c r="L516" s="13">
        <v>2</v>
      </c>
      <c r="M516" s="13"/>
      <c r="N516" s="13"/>
      <c r="O516" s="13"/>
      <c r="P516" s="13"/>
      <c r="Q516" s="13"/>
      <c r="R516" s="13" t="s">
        <v>8</v>
      </c>
      <c r="S516" s="13" t="s">
        <v>13</v>
      </c>
    </row>
    <row r="517" spans="2:19">
      <c r="B517" s="13"/>
      <c r="C517" s="14">
        <v>244768</v>
      </c>
      <c r="D517" s="13" t="s">
        <v>211</v>
      </c>
      <c r="E517" s="13" t="s">
        <v>357</v>
      </c>
      <c r="F517" s="13"/>
      <c r="G517" s="13" t="s">
        <v>38</v>
      </c>
      <c r="H517" s="13" t="s">
        <v>10</v>
      </c>
      <c r="I517" s="13">
        <v>3</v>
      </c>
      <c r="J517" s="13">
        <v>2</v>
      </c>
      <c r="K517" s="13">
        <v>1</v>
      </c>
      <c r="L517" s="13">
        <v>2</v>
      </c>
      <c r="M517" s="13"/>
      <c r="N517" s="13"/>
      <c r="O517" s="13"/>
      <c r="P517" s="13"/>
      <c r="Q517" s="13"/>
      <c r="R517" s="13" t="s">
        <v>8</v>
      </c>
      <c r="S517" s="13" t="s">
        <v>13</v>
      </c>
    </row>
    <row r="518" spans="2:19">
      <c r="B518" s="13"/>
      <c r="C518" s="14">
        <v>244768</v>
      </c>
      <c r="D518" s="13" t="s">
        <v>211</v>
      </c>
      <c r="E518" s="13" t="s">
        <v>358</v>
      </c>
      <c r="F518" s="13"/>
      <c r="G518" s="13" t="s">
        <v>38</v>
      </c>
      <c r="H518" s="13" t="s">
        <v>10</v>
      </c>
      <c r="I518" s="13">
        <v>4</v>
      </c>
      <c r="J518" s="13">
        <v>3</v>
      </c>
      <c r="K518" s="13">
        <v>1</v>
      </c>
      <c r="L518" s="13">
        <v>2</v>
      </c>
      <c r="M518" s="13"/>
      <c r="N518" s="13"/>
      <c r="O518" s="13"/>
      <c r="P518" s="13"/>
      <c r="Q518" s="13"/>
      <c r="R518" s="13" t="s">
        <v>8</v>
      </c>
      <c r="S518" s="13" t="s">
        <v>13</v>
      </c>
    </row>
    <row r="519" spans="2:19">
      <c r="B519" s="13"/>
      <c r="C519" s="14">
        <v>244768</v>
      </c>
      <c r="D519" s="13" t="s">
        <v>211</v>
      </c>
      <c r="E519" s="13" t="s">
        <v>359</v>
      </c>
      <c r="F519" s="13"/>
      <c r="G519" s="13" t="s">
        <v>81</v>
      </c>
      <c r="H519" s="13" t="s">
        <v>10</v>
      </c>
      <c r="I519" s="13">
        <v>2</v>
      </c>
      <c r="J519" s="13">
        <v>2</v>
      </c>
      <c r="K519" s="13">
        <v>0</v>
      </c>
      <c r="L519" s="13">
        <v>2</v>
      </c>
      <c r="M519" s="13"/>
      <c r="N519" s="13"/>
      <c r="O519" s="13"/>
      <c r="P519" s="13"/>
      <c r="Q519" s="13"/>
      <c r="R519" s="13" t="s">
        <v>8</v>
      </c>
      <c r="S519" s="13" t="s">
        <v>13</v>
      </c>
    </row>
    <row r="520" spans="2:19">
      <c r="B520" s="13"/>
      <c r="C520" s="14">
        <v>244768</v>
      </c>
      <c r="D520" s="13" t="s">
        <v>211</v>
      </c>
      <c r="E520" s="13" t="s">
        <v>360</v>
      </c>
      <c r="F520" s="13"/>
      <c r="G520" s="13" t="s">
        <v>81</v>
      </c>
      <c r="H520" s="13" t="s">
        <v>10</v>
      </c>
      <c r="I520" s="13">
        <v>3</v>
      </c>
      <c r="J520" s="13">
        <v>3</v>
      </c>
      <c r="K520" s="13">
        <v>0</v>
      </c>
      <c r="L520" s="13">
        <v>2</v>
      </c>
      <c r="M520" s="13"/>
      <c r="N520" s="13"/>
      <c r="O520" s="13"/>
      <c r="P520" s="13"/>
      <c r="Q520" s="13" t="s">
        <v>83</v>
      </c>
      <c r="R520" s="13" t="s">
        <v>8</v>
      </c>
      <c r="S520" s="13" t="s">
        <v>13</v>
      </c>
    </row>
    <row r="521" spans="2:19">
      <c r="B521" s="13"/>
      <c r="C521" s="14">
        <v>244772</v>
      </c>
      <c r="D521" s="13" t="s">
        <v>211</v>
      </c>
      <c r="E521" s="13" t="s">
        <v>253</v>
      </c>
      <c r="F521" s="13"/>
      <c r="G521" s="13" t="s">
        <v>81</v>
      </c>
      <c r="H521" s="13" t="s">
        <v>21</v>
      </c>
      <c r="I521" s="13">
        <v>2</v>
      </c>
      <c r="J521" s="13">
        <v>2</v>
      </c>
      <c r="K521" s="13">
        <v>0</v>
      </c>
      <c r="L521" s="13">
        <v>2</v>
      </c>
      <c r="M521" s="13"/>
      <c r="N521" s="13"/>
      <c r="O521" s="13"/>
      <c r="P521" s="13"/>
      <c r="Q521" s="13"/>
      <c r="R521" s="13" t="s">
        <v>8</v>
      </c>
      <c r="S521" s="13" t="s">
        <v>13</v>
      </c>
    </row>
    <row r="522" spans="2:19">
      <c r="B522" s="13"/>
      <c r="C522" s="14">
        <v>244772</v>
      </c>
      <c r="D522" s="13" t="s">
        <v>211</v>
      </c>
      <c r="E522" s="13" t="s">
        <v>254</v>
      </c>
      <c r="F522" s="13"/>
      <c r="G522" s="13" t="s">
        <v>81</v>
      </c>
      <c r="H522" s="13" t="s">
        <v>21</v>
      </c>
      <c r="I522" s="13">
        <v>2</v>
      </c>
      <c r="J522" s="13">
        <v>2</v>
      </c>
      <c r="K522" s="13">
        <v>0</v>
      </c>
      <c r="L522" s="13">
        <v>2</v>
      </c>
      <c r="M522" s="13"/>
      <c r="N522" s="13"/>
      <c r="O522" s="13"/>
      <c r="P522" s="13"/>
      <c r="Q522" s="13"/>
      <c r="R522" s="13" t="s">
        <v>8</v>
      </c>
      <c r="S522" s="13" t="s">
        <v>13</v>
      </c>
    </row>
    <row r="523" spans="2:19">
      <c r="B523" s="13"/>
      <c r="C523" s="14">
        <v>244756</v>
      </c>
      <c r="D523" s="13" t="s">
        <v>211</v>
      </c>
      <c r="E523" s="13" t="s">
        <v>361</v>
      </c>
      <c r="F523" s="13"/>
      <c r="G523" s="13" t="s">
        <v>81</v>
      </c>
      <c r="H523" s="13" t="s">
        <v>21</v>
      </c>
      <c r="I523" s="13">
        <v>4</v>
      </c>
      <c r="J523" s="13">
        <v>4</v>
      </c>
      <c r="K523" s="13">
        <v>0</v>
      </c>
      <c r="L523" s="13">
        <v>2</v>
      </c>
      <c r="M523" s="13"/>
      <c r="N523" s="13"/>
      <c r="O523" s="13"/>
      <c r="P523" s="13"/>
      <c r="Q523" s="13"/>
      <c r="R523" s="13" t="s">
        <v>8</v>
      </c>
      <c r="S523" s="13" t="s">
        <v>13</v>
      </c>
    </row>
    <row r="524" spans="2:19">
      <c r="B524" s="13"/>
      <c r="C524" s="14">
        <v>244756</v>
      </c>
      <c r="D524" s="13" t="s">
        <v>211</v>
      </c>
      <c r="E524" s="13" t="s">
        <v>362</v>
      </c>
      <c r="F524" s="13"/>
      <c r="G524" s="13" t="s">
        <v>81</v>
      </c>
      <c r="H524" s="13" t="s">
        <v>21</v>
      </c>
      <c r="I524" s="13">
        <v>4</v>
      </c>
      <c r="J524" s="13">
        <v>4</v>
      </c>
      <c r="K524" s="13">
        <v>0</v>
      </c>
      <c r="L524" s="13">
        <v>2</v>
      </c>
      <c r="M524" s="13"/>
      <c r="N524" s="13"/>
      <c r="O524" s="13"/>
      <c r="P524" s="13"/>
      <c r="Q524" s="13"/>
      <c r="R524" s="13" t="s">
        <v>8</v>
      </c>
      <c r="S524" s="13" t="s">
        <v>13</v>
      </c>
    </row>
    <row r="525" spans="2:19">
      <c r="B525" s="13"/>
      <c r="C525" s="14">
        <v>244756</v>
      </c>
      <c r="D525" s="13" t="s">
        <v>211</v>
      </c>
      <c r="E525" s="13" t="s">
        <v>363</v>
      </c>
      <c r="F525" s="13"/>
      <c r="G525" s="13" t="s">
        <v>81</v>
      </c>
      <c r="H525" s="13" t="s">
        <v>21</v>
      </c>
      <c r="I525" s="13">
        <v>4</v>
      </c>
      <c r="J525" s="13">
        <v>4</v>
      </c>
      <c r="K525" s="13">
        <v>0</v>
      </c>
      <c r="L525" s="13">
        <v>2</v>
      </c>
      <c r="M525" s="13"/>
      <c r="N525" s="13"/>
      <c r="O525" s="13"/>
      <c r="P525" s="13"/>
      <c r="Q525" s="13"/>
      <c r="R525" s="13" t="s">
        <v>8</v>
      </c>
      <c r="S525" s="13" t="s">
        <v>13</v>
      </c>
    </row>
    <row r="526" spans="2:19">
      <c r="B526" s="13"/>
      <c r="C526" s="14">
        <v>244761</v>
      </c>
      <c r="D526" s="13" t="s">
        <v>211</v>
      </c>
      <c r="E526" s="13" t="s">
        <v>255</v>
      </c>
      <c r="F526" s="13"/>
      <c r="G526" s="13" t="s">
        <v>81</v>
      </c>
      <c r="H526" s="13" t="s">
        <v>21</v>
      </c>
      <c r="I526" s="13">
        <v>7</v>
      </c>
      <c r="J526" s="13">
        <v>7</v>
      </c>
      <c r="K526" s="13">
        <v>0</v>
      </c>
      <c r="L526" s="13">
        <v>2</v>
      </c>
      <c r="M526" s="13"/>
      <c r="N526" s="13"/>
      <c r="O526" s="13"/>
      <c r="P526" s="13"/>
      <c r="Q526" s="13" t="s">
        <v>41</v>
      </c>
      <c r="R526" s="13" t="s">
        <v>8</v>
      </c>
      <c r="S526" s="13" t="s">
        <v>13</v>
      </c>
    </row>
    <row r="527" spans="2:19">
      <c r="B527" s="13"/>
      <c r="C527" s="14">
        <v>244761</v>
      </c>
      <c r="D527" s="13" t="s">
        <v>211</v>
      </c>
      <c r="E527" s="13" t="s">
        <v>364</v>
      </c>
      <c r="F527" s="13"/>
      <c r="G527" s="13" t="s">
        <v>35</v>
      </c>
      <c r="H527" s="13" t="s">
        <v>21</v>
      </c>
      <c r="I527" s="13">
        <v>6</v>
      </c>
      <c r="J527" s="13">
        <v>0</v>
      </c>
      <c r="K527" s="13">
        <v>6</v>
      </c>
      <c r="L527" s="13">
        <v>2</v>
      </c>
      <c r="M527" s="13"/>
      <c r="N527" s="13"/>
      <c r="O527" s="13"/>
      <c r="P527" s="13"/>
      <c r="Q527" s="13" t="s">
        <v>41</v>
      </c>
      <c r="R527" s="13" t="s">
        <v>8</v>
      </c>
      <c r="S527" s="13" t="s">
        <v>13</v>
      </c>
    </row>
    <row r="528" spans="2:19">
      <c r="B528" s="13"/>
      <c r="C528" s="14">
        <v>244761</v>
      </c>
      <c r="D528" s="13" t="s">
        <v>211</v>
      </c>
      <c r="E528" s="13" t="s">
        <v>365</v>
      </c>
      <c r="F528" s="13"/>
      <c r="G528" s="13" t="s">
        <v>81</v>
      </c>
      <c r="H528" s="13" t="s">
        <v>21</v>
      </c>
      <c r="I528" s="13">
        <v>3</v>
      </c>
      <c r="J528" s="13">
        <v>3</v>
      </c>
      <c r="K528" s="13">
        <v>0</v>
      </c>
      <c r="L528" s="13">
        <v>2</v>
      </c>
      <c r="M528" s="13"/>
      <c r="N528" s="13"/>
      <c r="O528" s="13"/>
      <c r="P528" s="13"/>
      <c r="Q528" s="13"/>
      <c r="R528" s="13" t="s">
        <v>8</v>
      </c>
      <c r="S528" s="13" t="s">
        <v>13</v>
      </c>
    </row>
    <row r="529" spans="2:19">
      <c r="B529" s="13"/>
      <c r="C529" s="14">
        <v>244761</v>
      </c>
      <c r="D529" s="13" t="s">
        <v>211</v>
      </c>
      <c r="E529" s="13" t="s">
        <v>256</v>
      </c>
      <c r="F529" s="13"/>
      <c r="G529" s="13" t="s">
        <v>81</v>
      </c>
      <c r="H529" s="13" t="s">
        <v>20</v>
      </c>
      <c r="I529" s="13">
        <v>8</v>
      </c>
      <c r="J529" s="13">
        <v>8</v>
      </c>
      <c r="K529" s="13">
        <v>0</v>
      </c>
      <c r="L529" s="13">
        <v>2</v>
      </c>
      <c r="M529" s="13"/>
      <c r="N529" s="13"/>
      <c r="O529" s="13"/>
      <c r="P529" s="13"/>
      <c r="Q529" s="13" t="s">
        <v>41</v>
      </c>
      <c r="R529" s="13" t="s">
        <v>8</v>
      </c>
      <c r="S529" s="13" t="s">
        <v>8</v>
      </c>
    </row>
    <row r="530" spans="2:19">
      <c r="B530" s="13"/>
      <c r="C530" s="14">
        <v>244761</v>
      </c>
      <c r="D530" s="13" t="s">
        <v>211</v>
      </c>
      <c r="E530" s="13" t="s">
        <v>366</v>
      </c>
      <c r="F530" s="13"/>
      <c r="G530" s="13" t="s">
        <v>81</v>
      </c>
      <c r="H530" s="13" t="s">
        <v>20</v>
      </c>
      <c r="I530" s="13">
        <v>6</v>
      </c>
      <c r="J530" s="13">
        <v>6</v>
      </c>
      <c r="K530" s="13">
        <v>0</v>
      </c>
      <c r="L530" s="13">
        <v>2</v>
      </c>
      <c r="M530" s="13"/>
      <c r="N530" s="13"/>
      <c r="O530" s="13"/>
      <c r="P530" s="13"/>
      <c r="Q530" s="13"/>
      <c r="R530" s="13" t="s">
        <v>8</v>
      </c>
      <c r="S530" s="13" t="s">
        <v>8</v>
      </c>
    </row>
    <row r="531" spans="2:19">
      <c r="B531" s="13"/>
      <c r="C531" s="14">
        <v>244761</v>
      </c>
      <c r="D531" s="13" t="s">
        <v>211</v>
      </c>
      <c r="E531" s="13" t="s">
        <v>367</v>
      </c>
      <c r="F531" s="13"/>
      <c r="G531" s="13" t="s">
        <v>81</v>
      </c>
      <c r="H531" s="13" t="s">
        <v>20</v>
      </c>
      <c r="I531" s="13">
        <v>10</v>
      </c>
      <c r="J531" s="13">
        <v>10</v>
      </c>
      <c r="K531" s="13">
        <v>0</v>
      </c>
      <c r="L531" s="13">
        <v>2</v>
      </c>
      <c r="M531" s="13"/>
      <c r="N531" s="13"/>
      <c r="O531" s="13"/>
      <c r="P531" s="13"/>
      <c r="Q531" s="13" t="s">
        <v>83</v>
      </c>
      <c r="R531" s="13" t="s">
        <v>8</v>
      </c>
      <c r="S531" s="13" t="s">
        <v>8</v>
      </c>
    </row>
    <row r="532" spans="2:19">
      <c r="B532" s="13"/>
      <c r="C532" s="14">
        <v>244757</v>
      </c>
      <c r="D532" s="13" t="s">
        <v>211</v>
      </c>
      <c r="E532" s="13" t="s">
        <v>368</v>
      </c>
      <c r="F532" s="13"/>
      <c r="G532" s="13" t="s">
        <v>35</v>
      </c>
      <c r="H532" s="13" t="s">
        <v>21</v>
      </c>
      <c r="I532" s="13">
        <v>5</v>
      </c>
      <c r="J532" s="13">
        <v>5</v>
      </c>
      <c r="K532" s="13">
        <v>0</v>
      </c>
      <c r="L532" s="13">
        <v>2</v>
      </c>
      <c r="M532" s="13"/>
      <c r="N532" s="13"/>
      <c r="O532" s="13"/>
      <c r="P532" s="13"/>
      <c r="Q532" s="13"/>
      <c r="R532" s="13" t="s">
        <v>8</v>
      </c>
      <c r="S532" s="13" t="s">
        <v>13</v>
      </c>
    </row>
    <row r="533" spans="2:19">
      <c r="B533" s="13"/>
      <c r="C533" s="14">
        <v>244757</v>
      </c>
      <c r="D533" s="13" t="s">
        <v>211</v>
      </c>
      <c r="E533" s="13" t="s">
        <v>369</v>
      </c>
      <c r="F533" s="13"/>
      <c r="G533" s="13" t="s">
        <v>77</v>
      </c>
      <c r="H533" s="13" t="s">
        <v>21</v>
      </c>
      <c r="I533" s="13">
        <v>2</v>
      </c>
      <c r="J533" s="13">
        <v>0</v>
      </c>
      <c r="K533" s="13">
        <v>2</v>
      </c>
      <c r="L533" s="13">
        <v>2</v>
      </c>
      <c r="M533" s="13"/>
      <c r="N533" s="13"/>
      <c r="O533" s="13"/>
      <c r="P533" s="13"/>
      <c r="Q533" s="13"/>
      <c r="R533" s="13" t="s">
        <v>8</v>
      </c>
      <c r="S533" s="13" t="s">
        <v>13</v>
      </c>
    </row>
    <row r="534" spans="2:19">
      <c r="B534" s="13"/>
      <c r="C534" s="14">
        <v>244758</v>
      </c>
      <c r="D534" s="13" t="s">
        <v>211</v>
      </c>
      <c r="E534" s="13" t="s">
        <v>370</v>
      </c>
      <c r="F534" s="13"/>
      <c r="G534" s="13" t="s">
        <v>77</v>
      </c>
      <c r="H534" s="13" t="s">
        <v>21</v>
      </c>
      <c r="I534" s="13">
        <v>4</v>
      </c>
      <c r="J534" s="13">
        <v>0</v>
      </c>
      <c r="K534" s="13">
        <v>4</v>
      </c>
      <c r="L534" s="13">
        <v>2</v>
      </c>
      <c r="M534" s="13"/>
      <c r="N534" s="13"/>
      <c r="O534" s="13"/>
      <c r="P534" s="13"/>
      <c r="Q534" s="13"/>
      <c r="R534" s="13" t="s">
        <v>8</v>
      </c>
      <c r="S534" s="13" t="s">
        <v>13</v>
      </c>
    </row>
    <row r="535" spans="2:19">
      <c r="B535" s="13"/>
      <c r="C535" s="14">
        <v>244758</v>
      </c>
      <c r="D535" s="13" t="s">
        <v>211</v>
      </c>
      <c r="E535" s="13" t="s">
        <v>371</v>
      </c>
      <c r="F535" s="13"/>
      <c r="G535" s="13" t="s">
        <v>77</v>
      </c>
      <c r="H535" s="13" t="s">
        <v>21</v>
      </c>
      <c r="I535" s="13">
        <v>2</v>
      </c>
      <c r="J535" s="13">
        <v>0</v>
      </c>
      <c r="K535" s="13">
        <v>2</v>
      </c>
      <c r="L535" s="13">
        <v>2</v>
      </c>
      <c r="M535" s="13"/>
      <c r="N535" s="13"/>
      <c r="O535" s="13"/>
      <c r="P535" s="13"/>
      <c r="Q535" s="13"/>
      <c r="R535" s="13" t="s">
        <v>8</v>
      </c>
      <c r="S535" s="13" t="s">
        <v>13</v>
      </c>
    </row>
    <row r="536" spans="2:19">
      <c r="B536" s="13"/>
      <c r="C536" s="14">
        <v>244758</v>
      </c>
      <c r="D536" s="13" t="s">
        <v>211</v>
      </c>
      <c r="E536" s="13" t="s">
        <v>372</v>
      </c>
      <c r="F536" s="13"/>
      <c r="G536" s="13" t="s">
        <v>77</v>
      </c>
      <c r="H536" s="13" t="s">
        <v>21</v>
      </c>
      <c r="I536" s="13">
        <v>4</v>
      </c>
      <c r="J536" s="13">
        <v>0</v>
      </c>
      <c r="K536" s="13">
        <v>4</v>
      </c>
      <c r="L536" s="13">
        <v>2</v>
      </c>
      <c r="M536" s="13"/>
      <c r="N536" s="13"/>
      <c r="O536" s="13"/>
      <c r="P536" s="13"/>
      <c r="Q536" s="13"/>
      <c r="R536" s="13" t="s">
        <v>8</v>
      </c>
      <c r="S536" s="13" t="s">
        <v>13</v>
      </c>
    </row>
    <row r="537" spans="2:19">
      <c r="B537" s="13"/>
      <c r="C537" s="14">
        <v>263534</v>
      </c>
      <c r="D537" s="13" t="s">
        <v>211</v>
      </c>
      <c r="E537" s="13" t="s">
        <v>263</v>
      </c>
      <c r="F537" s="13"/>
      <c r="G537" s="13" t="s">
        <v>81</v>
      </c>
      <c r="H537" s="13" t="s">
        <v>14</v>
      </c>
      <c r="I537" s="13">
        <v>7</v>
      </c>
      <c r="J537" s="13">
        <v>10</v>
      </c>
      <c r="K537" s="13">
        <v>0</v>
      </c>
      <c r="L537" s="13">
        <v>2</v>
      </c>
      <c r="M537" s="13"/>
      <c r="N537" s="13"/>
      <c r="O537" s="13"/>
      <c r="P537" s="13"/>
      <c r="Q537" s="13"/>
      <c r="R537" s="13" t="s">
        <v>264</v>
      </c>
      <c r="S537" s="13" t="s">
        <v>265</v>
      </c>
    </row>
    <row r="538" spans="2:19">
      <c r="B538" s="13"/>
      <c r="C538" s="14">
        <v>263534</v>
      </c>
      <c r="D538" s="13" t="s">
        <v>211</v>
      </c>
      <c r="E538" s="13" t="s">
        <v>266</v>
      </c>
      <c r="F538" s="13"/>
      <c r="G538" s="13" t="s">
        <v>81</v>
      </c>
      <c r="H538" s="13" t="s">
        <v>14</v>
      </c>
      <c r="I538" s="13">
        <v>7</v>
      </c>
      <c r="J538" s="13">
        <v>7</v>
      </c>
      <c r="K538" s="13">
        <v>0</v>
      </c>
      <c r="L538" s="13">
        <v>2</v>
      </c>
      <c r="M538" s="13"/>
      <c r="N538" s="13"/>
      <c r="O538" s="13"/>
      <c r="P538" s="13"/>
      <c r="Q538" s="13"/>
      <c r="R538" s="13" t="s">
        <v>267</v>
      </c>
      <c r="S538" s="13" t="s">
        <v>265</v>
      </c>
    </row>
    <row r="539" spans="2:19">
      <c r="B539" s="13"/>
      <c r="C539" s="14">
        <v>263534</v>
      </c>
      <c r="D539" s="13" t="s">
        <v>211</v>
      </c>
      <c r="E539" s="13" t="s">
        <v>373</v>
      </c>
      <c r="F539" s="13"/>
      <c r="G539" s="13" t="s">
        <v>81</v>
      </c>
      <c r="H539" s="13" t="s">
        <v>14</v>
      </c>
      <c r="I539" s="13">
        <v>7</v>
      </c>
      <c r="J539" s="13">
        <v>7</v>
      </c>
      <c r="K539" s="13">
        <v>0</v>
      </c>
      <c r="L539" s="13">
        <v>2</v>
      </c>
      <c r="M539" s="13"/>
      <c r="N539" s="13"/>
      <c r="O539" s="13"/>
      <c r="P539" s="13"/>
      <c r="Q539" s="13"/>
      <c r="R539" s="13" t="s">
        <v>226</v>
      </c>
      <c r="S539" s="13" t="s">
        <v>15</v>
      </c>
    </row>
    <row r="540" spans="2:19">
      <c r="B540" s="13"/>
      <c r="C540" s="14">
        <v>263834</v>
      </c>
      <c r="D540" s="13" t="s">
        <v>211</v>
      </c>
      <c r="E540" s="13" t="s">
        <v>374</v>
      </c>
      <c r="F540" s="13"/>
      <c r="G540" s="13" t="s">
        <v>81</v>
      </c>
      <c r="H540" s="13" t="s">
        <v>16</v>
      </c>
      <c r="I540" s="13">
        <v>3</v>
      </c>
      <c r="J540" s="13">
        <v>6.5</v>
      </c>
      <c r="K540" s="13">
        <v>0</v>
      </c>
      <c r="L540" s="13">
        <v>2</v>
      </c>
      <c r="M540" s="13"/>
      <c r="N540" s="13"/>
      <c r="O540" s="13"/>
      <c r="P540" s="13"/>
      <c r="Q540" s="13"/>
      <c r="R540" s="13" t="s">
        <v>8</v>
      </c>
      <c r="S540" s="13" t="s">
        <v>13</v>
      </c>
    </row>
    <row r="541" spans="2:19">
      <c r="B541" s="13"/>
      <c r="C541" s="14">
        <v>263834</v>
      </c>
      <c r="D541" s="13" t="s">
        <v>211</v>
      </c>
      <c r="E541" s="13" t="s">
        <v>375</v>
      </c>
      <c r="F541" s="13"/>
      <c r="G541" s="13" t="s">
        <v>81</v>
      </c>
      <c r="H541" s="13" t="s">
        <v>16</v>
      </c>
      <c r="I541" s="13">
        <v>3</v>
      </c>
      <c r="J541" s="13">
        <v>3</v>
      </c>
      <c r="K541" s="13">
        <v>0</v>
      </c>
      <c r="L541" s="13">
        <v>2</v>
      </c>
      <c r="M541" s="13"/>
      <c r="N541" s="13"/>
      <c r="O541" s="13"/>
      <c r="P541" s="13"/>
      <c r="Q541" s="13"/>
      <c r="R541" s="13" t="s">
        <v>8</v>
      </c>
      <c r="S541" s="13" t="s">
        <v>13</v>
      </c>
    </row>
    <row r="542" spans="2:19">
      <c r="B542" s="13"/>
      <c r="C542" s="14">
        <v>263834</v>
      </c>
      <c r="D542" s="13" t="s">
        <v>211</v>
      </c>
      <c r="E542" s="13" t="s">
        <v>376</v>
      </c>
      <c r="F542" s="13"/>
      <c r="G542" s="13" t="s">
        <v>81</v>
      </c>
      <c r="H542" s="13" t="s">
        <v>16</v>
      </c>
      <c r="I542" s="13">
        <v>3</v>
      </c>
      <c r="J542" s="13">
        <v>7</v>
      </c>
      <c r="K542" s="13">
        <v>0</v>
      </c>
      <c r="L542" s="13">
        <v>2</v>
      </c>
      <c r="M542" s="13"/>
      <c r="N542" s="13"/>
      <c r="O542" s="13"/>
      <c r="P542" s="13"/>
      <c r="Q542" s="13"/>
      <c r="R542" s="13" t="s">
        <v>8</v>
      </c>
      <c r="S542" s="13" t="s">
        <v>13</v>
      </c>
    </row>
    <row r="543" spans="2:19">
      <c r="B543" s="13"/>
      <c r="C543" s="14">
        <v>263834</v>
      </c>
      <c r="D543" s="13" t="s">
        <v>211</v>
      </c>
      <c r="E543" s="13" t="s">
        <v>377</v>
      </c>
      <c r="F543" s="13"/>
      <c r="G543" s="13" t="s">
        <v>81</v>
      </c>
      <c r="H543" s="13" t="s">
        <v>18</v>
      </c>
      <c r="I543" s="13">
        <v>2</v>
      </c>
      <c r="J543" s="13">
        <v>2</v>
      </c>
      <c r="K543" s="13">
        <v>0</v>
      </c>
      <c r="L543" s="13">
        <v>2</v>
      </c>
      <c r="M543" s="13"/>
      <c r="N543" s="13"/>
      <c r="O543" s="13"/>
      <c r="P543" s="13"/>
      <c r="Q543" s="13"/>
      <c r="R543" s="13" t="s">
        <v>8</v>
      </c>
      <c r="S543" s="13" t="s">
        <v>8</v>
      </c>
    </row>
    <row r="544" spans="2:19">
      <c r="B544" s="13"/>
      <c r="C544" s="14">
        <v>264506</v>
      </c>
      <c r="D544" s="13" t="s">
        <v>211</v>
      </c>
      <c r="E544" s="13" t="s">
        <v>378</v>
      </c>
      <c r="F544" s="13"/>
      <c r="G544" s="13" t="s">
        <v>81</v>
      </c>
      <c r="H544" s="13" t="s">
        <v>18</v>
      </c>
      <c r="I544" s="13">
        <v>4</v>
      </c>
      <c r="J544" s="13">
        <v>4</v>
      </c>
      <c r="K544" s="13">
        <v>0</v>
      </c>
      <c r="L544" s="13">
        <v>2</v>
      </c>
      <c r="M544" s="13"/>
      <c r="N544" s="13"/>
      <c r="O544" s="13"/>
      <c r="P544" s="13"/>
      <c r="Q544" s="13"/>
      <c r="R544" s="13" t="s">
        <v>8</v>
      </c>
      <c r="S544" s="13" t="s">
        <v>8</v>
      </c>
    </row>
    <row r="545" spans="2:19">
      <c r="B545" s="13"/>
      <c r="C545" s="14">
        <v>264506</v>
      </c>
      <c r="D545" s="13" t="s">
        <v>211</v>
      </c>
      <c r="E545" s="13" t="s">
        <v>379</v>
      </c>
      <c r="F545" s="13"/>
      <c r="G545" s="13" t="s">
        <v>81</v>
      </c>
      <c r="H545" s="13" t="s">
        <v>18</v>
      </c>
      <c r="I545" s="13">
        <v>7</v>
      </c>
      <c r="J545" s="13">
        <v>7</v>
      </c>
      <c r="K545" s="13">
        <v>0</v>
      </c>
      <c r="L545" s="13">
        <v>2</v>
      </c>
      <c r="M545" s="13"/>
      <c r="N545" s="13"/>
      <c r="O545" s="13"/>
      <c r="P545" s="13"/>
      <c r="Q545" s="13"/>
      <c r="R545" s="13" t="s">
        <v>8</v>
      </c>
      <c r="S545" s="13" t="s">
        <v>8</v>
      </c>
    </row>
    <row r="546" spans="2:19">
      <c r="B546" s="13"/>
      <c r="C546" s="14">
        <v>247302</v>
      </c>
      <c r="D546" s="13" t="s">
        <v>211</v>
      </c>
      <c r="E546" s="13" t="s">
        <v>258</v>
      </c>
      <c r="F546" s="13"/>
      <c r="G546" s="13" t="s">
        <v>81</v>
      </c>
      <c r="H546" s="13" t="s">
        <v>23</v>
      </c>
      <c r="I546" s="13">
        <v>3</v>
      </c>
      <c r="J546" s="13">
        <v>4</v>
      </c>
      <c r="K546" s="13">
        <v>0</v>
      </c>
      <c r="L546" s="13">
        <v>2</v>
      </c>
      <c r="M546" s="13"/>
      <c r="N546" s="13"/>
      <c r="O546" s="13"/>
      <c r="P546" s="13"/>
      <c r="Q546" s="13"/>
      <c r="R546" s="13" t="s">
        <v>9</v>
      </c>
      <c r="S546" s="13" t="s">
        <v>9</v>
      </c>
    </row>
    <row r="547" spans="2:19">
      <c r="B547" s="13"/>
      <c r="C547" s="14">
        <v>247302</v>
      </c>
      <c r="D547" s="13" t="s">
        <v>211</v>
      </c>
      <c r="E547" s="13" t="s">
        <v>380</v>
      </c>
      <c r="F547" s="13"/>
      <c r="G547" s="13" t="s">
        <v>81</v>
      </c>
      <c r="H547" s="13" t="s">
        <v>14</v>
      </c>
      <c r="I547" s="13">
        <v>2</v>
      </c>
      <c r="J547" s="13">
        <v>2</v>
      </c>
      <c r="K547" s="13">
        <v>0</v>
      </c>
      <c r="L547" s="13">
        <v>2</v>
      </c>
      <c r="M547" s="13"/>
      <c r="N547" s="13"/>
      <c r="O547" s="13"/>
      <c r="P547" s="13"/>
      <c r="Q547" s="13"/>
      <c r="R547" s="13" t="s">
        <v>381</v>
      </c>
      <c r="S547" s="13" t="s">
        <v>15</v>
      </c>
    </row>
    <row r="548" spans="2:19">
      <c r="B548" s="13"/>
      <c r="C548" s="14">
        <v>253676</v>
      </c>
      <c r="D548" s="13" t="s">
        <v>211</v>
      </c>
      <c r="E548" s="13" t="s">
        <v>259</v>
      </c>
      <c r="F548" s="13"/>
      <c r="G548" s="13" t="s">
        <v>81</v>
      </c>
      <c r="H548" s="13" t="s">
        <v>18</v>
      </c>
      <c r="I548" s="13">
        <v>8</v>
      </c>
      <c r="J548" s="13">
        <v>8</v>
      </c>
      <c r="K548" s="13">
        <v>0</v>
      </c>
      <c r="L548" s="13">
        <v>2</v>
      </c>
      <c r="M548" s="13"/>
      <c r="N548" s="13"/>
      <c r="O548" s="13"/>
      <c r="P548" s="13"/>
      <c r="Q548" s="13"/>
      <c r="R548" s="13" t="s">
        <v>8</v>
      </c>
      <c r="S548" s="13" t="s">
        <v>8</v>
      </c>
    </row>
    <row r="549" spans="2:19">
      <c r="B549" s="13"/>
      <c r="C549" s="14">
        <v>253676</v>
      </c>
      <c r="D549" s="13" t="s">
        <v>211</v>
      </c>
      <c r="E549" s="13" t="s">
        <v>260</v>
      </c>
      <c r="F549" s="13"/>
      <c r="G549" s="13" t="s">
        <v>81</v>
      </c>
      <c r="H549" s="13" t="s">
        <v>18</v>
      </c>
      <c r="I549" s="13">
        <v>8</v>
      </c>
      <c r="J549" s="13">
        <v>8</v>
      </c>
      <c r="K549" s="13">
        <v>0</v>
      </c>
      <c r="L549" s="13">
        <v>2</v>
      </c>
      <c r="M549" s="13"/>
      <c r="N549" s="13"/>
      <c r="O549" s="13"/>
      <c r="P549" s="13"/>
      <c r="Q549" s="13"/>
      <c r="R549" s="13" t="s">
        <v>8</v>
      </c>
      <c r="S549" s="13" t="s">
        <v>8</v>
      </c>
    </row>
    <row r="550" spans="2:19">
      <c r="B550" s="13"/>
      <c r="C550" s="14">
        <v>253676</v>
      </c>
      <c r="D550" s="13" t="s">
        <v>211</v>
      </c>
      <c r="E550" s="13" t="s">
        <v>261</v>
      </c>
      <c r="F550" s="13"/>
      <c r="G550" s="13" t="s">
        <v>81</v>
      </c>
      <c r="H550" s="13" t="s">
        <v>18</v>
      </c>
      <c r="I550" s="13">
        <v>8</v>
      </c>
      <c r="J550" s="13">
        <v>8</v>
      </c>
      <c r="K550" s="13">
        <v>0</v>
      </c>
      <c r="L550" s="13">
        <v>2</v>
      </c>
      <c r="M550" s="13"/>
      <c r="N550" s="13"/>
      <c r="O550" s="13"/>
      <c r="P550" s="13"/>
      <c r="Q550" s="13"/>
      <c r="R550" s="13" t="s">
        <v>8</v>
      </c>
      <c r="S550" s="13" t="s">
        <v>8</v>
      </c>
    </row>
    <row r="551" spans="2:19">
      <c r="B551" s="13"/>
      <c r="C551" s="14">
        <v>253676</v>
      </c>
      <c r="D551" s="13" t="s">
        <v>211</v>
      </c>
      <c r="E551" s="13" t="s">
        <v>262</v>
      </c>
      <c r="F551" s="13"/>
      <c r="G551" s="13" t="s">
        <v>81</v>
      </c>
      <c r="H551" s="13" t="s">
        <v>18</v>
      </c>
      <c r="I551" s="13">
        <v>8</v>
      </c>
      <c r="J551" s="13">
        <v>6</v>
      </c>
      <c r="K551" s="13">
        <v>0</v>
      </c>
      <c r="L551" s="13">
        <v>2</v>
      </c>
      <c r="M551" s="13"/>
      <c r="N551" s="13"/>
      <c r="O551" s="13"/>
      <c r="P551" s="13"/>
      <c r="Q551" s="13" t="s">
        <v>83</v>
      </c>
      <c r="R551" s="13" t="s">
        <v>8</v>
      </c>
      <c r="S551" s="13" t="s">
        <v>8</v>
      </c>
    </row>
    <row r="552" spans="2:19">
      <c r="B552" s="13"/>
      <c r="C552" s="14">
        <v>247303</v>
      </c>
      <c r="D552" s="13" t="s">
        <v>211</v>
      </c>
      <c r="E552" s="13" t="s">
        <v>380</v>
      </c>
      <c r="F552" s="13"/>
      <c r="G552" s="13" t="s">
        <v>81</v>
      </c>
      <c r="H552" s="13" t="s">
        <v>14</v>
      </c>
      <c r="I552" s="13">
        <v>1</v>
      </c>
      <c r="J552" s="13">
        <v>1</v>
      </c>
      <c r="K552" s="13">
        <v>0</v>
      </c>
      <c r="L552" s="13">
        <v>2</v>
      </c>
      <c r="M552" s="13"/>
      <c r="N552" s="13"/>
      <c r="O552" s="13"/>
      <c r="P552" s="13"/>
      <c r="Q552" s="13"/>
      <c r="R552" s="13" t="s">
        <v>381</v>
      </c>
      <c r="S552" s="13" t="s">
        <v>15</v>
      </c>
    </row>
    <row r="553" spans="2:19">
      <c r="B553" s="13"/>
      <c r="C553" s="14">
        <v>247304</v>
      </c>
      <c r="D553" s="13" t="s">
        <v>211</v>
      </c>
      <c r="E553" s="13" t="s">
        <v>380</v>
      </c>
      <c r="F553" s="13"/>
      <c r="G553" s="13" t="s">
        <v>81</v>
      </c>
      <c r="H553" s="13" t="s">
        <v>14</v>
      </c>
      <c r="I553" s="13">
        <v>2</v>
      </c>
      <c r="J553" s="13">
        <v>1</v>
      </c>
      <c r="K553" s="13">
        <v>1</v>
      </c>
      <c r="L553" s="13">
        <v>2</v>
      </c>
      <c r="M553" s="13"/>
      <c r="N553" s="13"/>
      <c r="O553" s="13"/>
      <c r="P553" s="13"/>
      <c r="Q553" s="13"/>
      <c r="R553" s="13" t="s">
        <v>381</v>
      </c>
      <c r="S553" s="13" t="s">
        <v>15</v>
      </c>
    </row>
    <row r="554" spans="2:19">
      <c r="B554" s="13"/>
      <c r="C554" s="14">
        <v>247305</v>
      </c>
      <c r="D554" s="13" t="s">
        <v>211</v>
      </c>
      <c r="E554" s="13" t="s">
        <v>380</v>
      </c>
      <c r="F554" s="13"/>
      <c r="G554" s="13" t="s">
        <v>81</v>
      </c>
      <c r="H554" s="13" t="s">
        <v>14</v>
      </c>
      <c r="I554" s="13">
        <v>2</v>
      </c>
      <c r="J554" s="13">
        <v>2</v>
      </c>
      <c r="K554" s="13">
        <v>0</v>
      </c>
      <c r="L554" s="13">
        <v>2</v>
      </c>
      <c r="M554" s="13"/>
      <c r="N554" s="13"/>
      <c r="O554" s="13"/>
      <c r="P554" s="13"/>
      <c r="Q554" s="13"/>
      <c r="R554" s="13" t="s">
        <v>381</v>
      </c>
      <c r="S554" s="13" t="s">
        <v>15</v>
      </c>
    </row>
    <row r="555" spans="2:19">
      <c r="B555" s="13"/>
      <c r="C555" s="14">
        <v>247306</v>
      </c>
      <c r="D555" s="13" t="s">
        <v>211</v>
      </c>
      <c r="E555" s="13" t="s">
        <v>380</v>
      </c>
      <c r="F555" s="13"/>
      <c r="G555" s="13" t="s">
        <v>81</v>
      </c>
      <c r="H555" s="13" t="s">
        <v>14</v>
      </c>
      <c r="I555" s="13">
        <v>2</v>
      </c>
      <c r="J555" s="13">
        <v>1</v>
      </c>
      <c r="K555" s="13">
        <v>1</v>
      </c>
      <c r="L555" s="13">
        <v>2</v>
      </c>
      <c r="M555" s="13"/>
      <c r="N555" s="13"/>
      <c r="O555" s="13"/>
      <c r="P555" s="13"/>
      <c r="Q555" s="13"/>
      <c r="R555" s="13" t="s">
        <v>381</v>
      </c>
      <c r="S555" s="13" t="s">
        <v>15</v>
      </c>
    </row>
    <row r="556" spans="2:19">
      <c r="B556" s="13"/>
      <c r="C556" s="14">
        <v>247322</v>
      </c>
      <c r="D556" s="13" t="s">
        <v>211</v>
      </c>
      <c r="E556" s="13" t="s">
        <v>380</v>
      </c>
      <c r="F556" s="13"/>
      <c r="G556" s="13" t="s">
        <v>81</v>
      </c>
      <c r="H556" s="13" t="s">
        <v>14</v>
      </c>
      <c r="I556" s="13">
        <v>2</v>
      </c>
      <c r="J556" s="13">
        <v>2</v>
      </c>
      <c r="K556" s="13">
        <v>0</v>
      </c>
      <c r="L556" s="13">
        <v>2</v>
      </c>
      <c r="M556" s="13"/>
      <c r="N556" s="13"/>
      <c r="O556" s="13"/>
      <c r="P556" s="13"/>
      <c r="Q556" s="13"/>
      <c r="R556" s="13" t="s">
        <v>381</v>
      </c>
      <c r="S556" s="13" t="s">
        <v>15</v>
      </c>
    </row>
    <row r="557" spans="2:19">
      <c r="B557" s="13"/>
      <c r="C557" s="14">
        <v>247321</v>
      </c>
      <c r="D557" s="13" t="s">
        <v>211</v>
      </c>
      <c r="E557" s="13" t="s">
        <v>380</v>
      </c>
      <c r="F557" s="13"/>
      <c r="G557" s="13" t="s">
        <v>81</v>
      </c>
      <c r="H557" s="13" t="s">
        <v>14</v>
      </c>
      <c r="I557" s="13">
        <v>3</v>
      </c>
      <c r="J557" s="13">
        <v>2</v>
      </c>
      <c r="K557" s="13">
        <v>1</v>
      </c>
      <c r="L557" s="13">
        <v>2</v>
      </c>
      <c r="M557" s="13"/>
      <c r="N557" s="13"/>
      <c r="O557" s="13"/>
      <c r="P557" s="13"/>
      <c r="Q557" s="13"/>
      <c r="R557" s="13" t="s">
        <v>381</v>
      </c>
      <c r="S557" s="13" t="s">
        <v>15</v>
      </c>
    </row>
    <row r="558" spans="2:19">
      <c r="B558" s="13"/>
      <c r="C558" s="14">
        <v>247324</v>
      </c>
      <c r="D558" s="13" t="s">
        <v>211</v>
      </c>
      <c r="E558" s="13" t="s">
        <v>380</v>
      </c>
      <c r="F558" s="13"/>
      <c r="G558" s="13" t="s">
        <v>81</v>
      </c>
      <c r="H558" s="13" t="s">
        <v>14</v>
      </c>
      <c r="I558" s="13">
        <v>2</v>
      </c>
      <c r="J558" s="13">
        <v>2</v>
      </c>
      <c r="K558" s="13">
        <v>0</v>
      </c>
      <c r="L558" s="13">
        <v>2</v>
      </c>
      <c r="M558" s="13"/>
      <c r="N558" s="13"/>
      <c r="O558" s="13"/>
      <c r="P558" s="13"/>
      <c r="Q558" s="13"/>
      <c r="R558" s="13" t="s">
        <v>381</v>
      </c>
      <c r="S558" s="13" t="s">
        <v>15</v>
      </c>
    </row>
    <row r="559" spans="2:19">
      <c r="B559" s="13"/>
      <c r="C559" s="14">
        <v>247323</v>
      </c>
      <c r="D559" s="13" t="s">
        <v>211</v>
      </c>
      <c r="E559" s="13" t="s">
        <v>380</v>
      </c>
      <c r="F559" s="13"/>
      <c r="G559" s="13" t="s">
        <v>81</v>
      </c>
      <c r="H559" s="13" t="s">
        <v>14</v>
      </c>
      <c r="I559" s="13">
        <v>3</v>
      </c>
      <c r="J559" s="13">
        <v>2</v>
      </c>
      <c r="K559" s="13">
        <v>1</v>
      </c>
      <c r="L559" s="13">
        <v>2</v>
      </c>
      <c r="M559" s="13"/>
      <c r="N559" s="13"/>
      <c r="O559" s="13"/>
      <c r="P559" s="13"/>
      <c r="Q559" s="13"/>
      <c r="R559" s="13" t="s">
        <v>381</v>
      </c>
      <c r="S559" s="13" t="s">
        <v>15</v>
      </c>
    </row>
    <row r="560" spans="2:19">
      <c r="B560" s="13"/>
      <c r="C560" s="14">
        <v>247308</v>
      </c>
      <c r="D560" s="13" t="s">
        <v>211</v>
      </c>
      <c r="E560" s="13" t="s">
        <v>380</v>
      </c>
      <c r="F560" s="13"/>
      <c r="G560" s="13" t="s">
        <v>81</v>
      </c>
      <c r="H560" s="13" t="s">
        <v>14</v>
      </c>
      <c r="I560" s="13">
        <v>1</v>
      </c>
      <c r="J560" s="13">
        <v>1</v>
      </c>
      <c r="K560" s="13">
        <v>0</v>
      </c>
      <c r="L560" s="13">
        <v>2</v>
      </c>
      <c r="M560" s="13"/>
      <c r="N560" s="13"/>
      <c r="O560" s="13"/>
      <c r="P560" s="13"/>
      <c r="Q560" s="13"/>
      <c r="R560" s="13" t="s">
        <v>381</v>
      </c>
      <c r="S560" s="13" t="s">
        <v>15</v>
      </c>
    </row>
    <row r="561" spans="2:19">
      <c r="B561" s="13"/>
      <c r="C561" s="14">
        <v>247315</v>
      </c>
      <c r="D561" s="13" t="s">
        <v>211</v>
      </c>
      <c r="E561" s="13" t="s">
        <v>268</v>
      </c>
      <c r="F561" s="13"/>
      <c r="G561" s="13" t="s">
        <v>35</v>
      </c>
      <c r="H561" s="13" t="s">
        <v>23</v>
      </c>
      <c r="I561" s="13">
        <v>2</v>
      </c>
      <c r="J561" s="13">
        <v>1</v>
      </c>
      <c r="K561" s="13">
        <v>1</v>
      </c>
      <c r="L561" s="13">
        <v>2</v>
      </c>
      <c r="M561" s="13"/>
      <c r="N561" s="13"/>
      <c r="O561" s="13"/>
      <c r="P561" s="13"/>
      <c r="Q561" s="13"/>
      <c r="R561" s="13" t="s">
        <v>9</v>
      </c>
      <c r="S561" s="13" t="s">
        <v>9</v>
      </c>
    </row>
    <row r="562" spans="2:19">
      <c r="B562" s="13"/>
      <c r="C562" s="14">
        <v>247313</v>
      </c>
      <c r="D562" s="13" t="s">
        <v>211</v>
      </c>
      <c r="E562" s="13" t="s">
        <v>380</v>
      </c>
      <c r="F562" s="13"/>
      <c r="G562" s="13" t="s">
        <v>81</v>
      </c>
      <c r="H562" s="13" t="s">
        <v>14</v>
      </c>
      <c r="I562" s="13">
        <v>2</v>
      </c>
      <c r="J562" s="13">
        <v>2</v>
      </c>
      <c r="K562" s="13">
        <v>0</v>
      </c>
      <c r="L562" s="13">
        <v>2</v>
      </c>
      <c r="M562" s="13"/>
      <c r="N562" s="13"/>
      <c r="O562" s="13"/>
      <c r="P562" s="13"/>
      <c r="Q562" s="13"/>
      <c r="R562" s="13" t="s">
        <v>381</v>
      </c>
      <c r="S562" s="13" t="s">
        <v>15</v>
      </c>
    </row>
    <row r="563" spans="2:19">
      <c r="B563" s="13"/>
      <c r="C563" s="14">
        <v>247314</v>
      </c>
      <c r="D563" s="13" t="s">
        <v>211</v>
      </c>
      <c r="E563" s="13" t="s">
        <v>380</v>
      </c>
      <c r="F563" s="13"/>
      <c r="G563" s="13" t="s">
        <v>81</v>
      </c>
      <c r="H563" s="13" t="s">
        <v>14</v>
      </c>
      <c r="I563" s="13">
        <v>2</v>
      </c>
      <c r="J563" s="13">
        <v>2</v>
      </c>
      <c r="K563" s="13">
        <v>0</v>
      </c>
      <c r="L563" s="13">
        <v>2</v>
      </c>
      <c r="M563" s="13"/>
      <c r="N563" s="13"/>
      <c r="O563" s="13"/>
      <c r="P563" s="13"/>
      <c r="Q563" s="13"/>
      <c r="R563" s="13" t="s">
        <v>381</v>
      </c>
      <c r="S563" s="13" t="s">
        <v>15</v>
      </c>
    </row>
    <row r="564" spans="2:19">
      <c r="B564" s="13"/>
      <c r="C564" s="14">
        <v>247316</v>
      </c>
      <c r="D564" s="13" t="s">
        <v>211</v>
      </c>
      <c r="E564" s="13" t="s">
        <v>380</v>
      </c>
      <c r="F564" s="13"/>
      <c r="G564" s="13" t="s">
        <v>81</v>
      </c>
      <c r="H564" s="13" t="s">
        <v>14</v>
      </c>
      <c r="I564" s="13">
        <v>2</v>
      </c>
      <c r="J564" s="13">
        <v>2</v>
      </c>
      <c r="K564" s="13">
        <v>0</v>
      </c>
      <c r="L564" s="13">
        <v>2</v>
      </c>
      <c r="M564" s="13"/>
      <c r="N564" s="13"/>
      <c r="O564" s="13"/>
      <c r="P564" s="13"/>
      <c r="Q564" s="13"/>
      <c r="R564" s="13" t="s">
        <v>381</v>
      </c>
      <c r="S564" s="13" t="s">
        <v>15</v>
      </c>
    </row>
    <row r="565" spans="2:19">
      <c r="B565" s="13"/>
      <c r="C565" s="14">
        <v>247312</v>
      </c>
      <c r="D565" s="13" t="s">
        <v>211</v>
      </c>
      <c r="E565" s="13" t="s">
        <v>269</v>
      </c>
      <c r="F565" s="13"/>
      <c r="G565" s="13" t="s">
        <v>81</v>
      </c>
      <c r="H565" s="13" t="s">
        <v>23</v>
      </c>
      <c r="I565" s="13">
        <v>1</v>
      </c>
      <c r="J565" s="13">
        <v>0.52</v>
      </c>
      <c r="K565" s="13">
        <v>0</v>
      </c>
      <c r="L565" s="13">
        <v>2</v>
      </c>
      <c r="M565" s="13"/>
      <c r="N565" s="13"/>
      <c r="O565" s="13"/>
      <c r="P565" s="13"/>
      <c r="Q565" s="13"/>
      <c r="R565" s="13" t="s">
        <v>9</v>
      </c>
      <c r="S565" s="13" t="s">
        <v>9</v>
      </c>
    </row>
    <row r="566" spans="2:19">
      <c r="B566" s="13"/>
      <c r="C566" s="14">
        <v>247312</v>
      </c>
      <c r="D566" s="13" t="s">
        <v>211</v>
      </c>
      <c r="E566" s="13" t="s">
        <v>380</v>
      </c>
      <c r="F566" s="13"/>
      <c r="G566" s="13" t="s">
        <v>81</v>
      </c>
      <c r="H566" s="13" t="s">
        <v>14</v>
      </c>
      <c r="I566" s="13">
        <v>2</v>
      </c>
      <c r="J566" s="13">
        <v>2</v>
      </c>
      <c r="K566" s="13">
        <v>0</v>
      </c>
      <c r="L566" s="13">
        <v>2</v>
      </c>
      <c r="M566" s="13"/>
      <c r="N566" s="13"/>
      <c r="O566" s="13"/>
      <c r="P566" s="13"/>
      <c r="Q566" s="13"/>
      <c r="R566" s="13" t="s">
        <v>381</v>
      </c>
      <c r="S566" s="13" t="s">
        <v>15</v>
      </c>
    </row>
    <row r="567" spans="2:19">
      <c r="B567" s="13"/>
      <c r="C567" s="14">
        <v>247310</v>
      </c>
      <c r="D567" s="13" t="s">
        <v>211</v>
      </c>
      <c r="E567" s="13" t="s">
        <v>270</v>
      </c>
      <c r="F567" s="13"/>
      <c r="G567" s="13" t="s">
        <v>81</v>
      </c>
      <c r="H567" s="13" t="s">
        <v>23</v>
      </c>
      <c r="I567" s="13">
        <v>3</v>
      </c>
      <c r="J567" s="13">
        <v>4</v>
      </c>
      <c r="K567" s="13">
        <v>0</v>
      </c>
      <c r="L567" s="13">
        <v>2</v>
      </c>
      <c r="M567" s="13"/>
      <c r="N567" s="13"/>
      <c r="O567" s="13"/>
      <c r="P567" s="13"/>
      <c r="Q567" s="13"/>
      <c r="R567" s="13" t="s">
        <v>9</v>
      </c>
      <c r="S567" s="13" t="s">
        <v>9</v>
      </c>
    </row>
    <row r="568" spans="2:19">
      <c r="B568" s="13"/>
      <c r="C568" s="14">
        <v>247310</v>
      </c>
      <c r="D568" s="13" t="s">
        <v>211</v>
      </c>
      <c r="E568" s="13" t="s">
        <v>271</v>
      </c>
      <c r="F568" s="13"/>
      <c r="G568" s="13" t="s">
        <v>81</v>
      </c>
      <c r="H568" s="13" t="s">
        <v>18</v>
      </c>
      <c r="I568" s="13">
        <v>4</v>
      </c>
      <c r="J568" s="13">
        <v>4</v>
      </c>
      <c r="K568" s="13">
        <v>0</v>
      </c>
      <c r="L568" s="13">
        <v>2</v>
      </c>
      <c r="M568" s="13"/>
      <c r="N568" s="13"/>
      <c r="O568" s="13"/>
      <c r="P568" s="13"/>
      <c r="Q568" s="13"/>
      <c r="R568" s="13" t="s">
        <v>8</v>
      </c>
      <c r="S568" s="13" t="s">
        <v>8</v>
      </c>
    </row>
    <row r="569" spans="2:19">
      <c r="B569" s="13"/>
      <c r="C569" s="14">
        <v>247310</v>
      </c>
      <c r="D569" s="13" t="s">
        <v>211</v>
      </c>
      <c r="E569" s="13" t="s">
        <v>272</v>
      </c>
      <c r="F569" s="13"/>
      <c r="G569" s="13" t="s">
        <v>81</v>
      </c>
      <c r="H569" s="13" t="s">
        <v>23</v>
      </c>
      <c r="I569" s="13">
        <v>1.5</v>
      </c>
      <c r="J569" s="13">
        <v>1.5</v>
      </c>
      <c r="K569" s="13">
        <v>0</v>
      </c>
      <c r="L569" s="13">
        <v>2</v>
      </c>
      <c r="M569" s="13"/>
      <c r="N569" s="13"/>
      <c r="O569" s="13"/>
      <c r="P569" s="13"/>
      <c r="Q569" s="13" t="s">
        <v>83</v>
      </c>
      <c r="R569" s="13" t="s">
        <v>9</v>
      </c>
      <c r="S569" s="13" t="s">
        <v>9</v>
      </c>
    </row>
    <row r="570" spans="2:19">
      <c r="B570" s="13"/>
      <c r="C570" s="14">
        <v>247319</v>
      </c>
      <c r="D570" s="13" t="s">
        <v>211</v>
      </c>
      <c r="E570" s="13" t="s">
        <v>380</v>
      </c>
      <c r="F570" s="13"/>
      <c r="G570" s="13" t="s">
        <v>81</v>
      </c>
      <c r="H570" s="13" t="s">
        <v>14</v>
      </c>
      <c r="I570" s="13">
        <v>1</v>
      </c>
      <c r="J570" s="13">
        <v>1</v>
      </c>
      <c r="K570" s="13">
        <v>0</v>
      </c>
      <c r="L570" s="13">
        <v>2</v>
      </c>
      <c r="M570" s="13"/>
      <c r="N570" s="13"/>
      <c r="O570" s="13"/>
      <c r="P570" s="13"/>
      <c r="Q570" s="13"/>
      <c r="R570" s="13" t="s">
        <v>381</v>
      </c>
      <c r="S570" s="13" t="s">
        <v>15</v>
      </c>
    </row>
    <row r="571" spans="2:19">
      <c r="B571" s="13"/>
      <c r="C571" s="14">
        <v>247311</v>
      </c>
      <c r="D571" s="13" t="s">
        <v>211</v>
      </c>
      <c r="E571" s="13" t="s">
        <v>380</v>
      </c>
      <c r="F571" s="13"/>
      <c r="G571" s="13" t="s">
        <v>81</v>
      </c>
      <c r="H571" s="13" t="s">
        <v>14</v>
      </c>
      <c r="I571" s="13">
        <v>2</v>
      </c>
      <c r="J571" s="13">
        <v>2</v>
      </c>
      <c r="K571" s="13">
        <v>0</v>
      </c>
      <c r="L571" s="13">
        <v>2</v>
      </c>
      <c r="M571" s="13"/>
      <c r="N571" s="13"/>
      <c r="O571" s="13"/>
      <c r="P571" s="13"/>
      <c r="Q571" s="13"/>
      <c r="R571" s="13" t="s">
        <v>381</v>
      </c>
      <c r="S571" s="13" t="s">
        <v>15</v>
      </c>
    </row>
    <row r="572" spans="2:19">
      <c r="B572" s="13"/>
      <c r="C572" s="14">
        <v>252836</v>
      </c>
      <c r="D572" s="13" t="s">
        <v>211</v>
      </c>
      <c r="E572" s="13" t="s">
        <v>273</v>
      </c>
      <c r="F572" s="13"/>
      <c r="G572" s="13" t="s">
        <v>81</v>
      </c>
      <c r="H572" s="13" t="s">
        <v>23</v>
      </c>
      <c r="I572" s="13">
        <v>3</v>
      </c>
      <c r="J572" s="13">
        <v>3</v>
      </c>
      <c r="K572" s="13">
        <v>0</v>
      </c>
      <c r="L572" s="13">
        <v>2</v>
      </c>
      <c r="M572" s="13"/>
      <c r="N572" s="13"/>
      <c r="O572" s="13"/>
      <c r="P572" s="13"/>
      <c r="Q572" s="13" t="s">
        <v>83</v>
      </c>
      <c r="R572" s="13" t="s">
        <v>9</v>
      </c>
      <c r="S572" s="13" t="s">
        <v>9</v>
      </c>
    </row>
    <row r="573" spans="2:19">
      <c r="B573" s="13"/>
      <c r="C573" s="14">
        <v>252836</v>
      </c>
      <c r="D573" s="13" t="s">
        <v>211</v>
      </c>
      <c r="E573" s="13" t="s">
        <v>274</v>
      </c>
      <c r="F573" s="13"/>
      <c r="G573" s="13" t="s">
        <v>81</v>
      </c>
      <c r="H573" s="13" t="s">
        <v>18</v>
      </c>
      <c r="I573" s="13">
        <v>4</v>
      </c>
      <c r="J573" s="13">
        <v>4</v>
      </c>
      <c r="K573" s="13">
        <v>0</v>
      </c>
      <c r="L573" s="13">
        <v>2</v>
      </c>
      <c r="M573" s="13"/>
      <c r="N573" s="13"/>
      <c r="O573" s="13"/>
      <c r="P573" s="13"/>
      <c r="Q573" s="13"/>
      <c r="R573" s="13" t="s">
        <v>8</v>
      </c>
      <c r="S573" s="13" t="s">
        <v>8</v>
      </c>
    </row>
    <row r="574" spans="2:19">
      <c r="B574" s="13"/>
      <c r="C574" s="14">
        <v>252836</v>
      </c>
      <c r="D574" s="13" t="s">
        <v>211</v>
      </c>
      <c r="E574" s="13" t="s">
        <v>275</v>
      </c>
      <c r="F574" s="13"/>
      <c r="G574" s="13" t="s">
        <v>81</v>
      </c>
      <c r="H574" s="13" t="s">
        <v>18</v>
      </c>
      <c r="I574" s="13">
        <v>4</v>
      </c>
      <c r="J574" s="13">
        <v>4</v>
      </c>
      <c r="K574" s="13">
        <v>0</v>
      </c>
      <c r="L574" s="13">
        <v>2</v>
      </c>
      <c r="M574" s="13"/>
      <c r="N574" s="13"/>
      <c r="O574" s="13"/>
      <c r="P574" s="13"/>
      <c r="Q574" s="13"/>
      <c r="R574" s="13" t="s">
        <v>8</v>
      </c>
      <c r="S574" s="13" t="s">
        <v>8</v>
      </c>
    </row>
    <row r="575" spans="2:19">
      <c r="B575" s="13"/>
      <c r="C575" s="14">
        <v>252836</v>
      </c>
      <c r="D575" s="13" t="s">
        <v>211</v>
      </c>
      <c r="E575" s="13" t="s">
        <v>382</v>
      </c>
      <c r="F575" s="13"/>
      <c r="G575" s="13" t="s">
        <v>81</v>
      </c>
      <c r="H575" s="13" t="s">
        <v>18</v>
      </c>
      <c r="I575" s="13">
        <v>4</v>
      </c>
      <c r="J575" s="13">
        <v>2</v>
      </c>
      <c r="K575" s="13">
        <v>0</v>
      </c>
      <c r="L575" s="13">
        <v>2</v>
      </c>
      <c r="M575" s="13"/>
      <c r="N575" s="13"/>
      <c r="O575" s="13"/>
      <c r="P575" s="13"/>
      <c r="Q575" s="13"/>
      <c r="R575" s="13" t="s">
        <v>8</v>
      </c>
      <c r="S575" s="13" t="s">
        <v>8</v>
      </c>
    </row>
    <row r="576" spans="2:19">
      <c r="B576" s="13"/>
      <c r="C576" s="14">
        <v>264492</v>
      </c>
      <c r="D576" s="13" t="s">
        <v>211</v>
      </c>
      <c r="E576" s="13" t="s">
        <v>383</v>
      </c>
      <c r="F576" s="13"/>
      <c r="G576" s="13" t="s">
        <v>81</v>
      </c>
      <c r="H576" s="13" t="s">
        <v>16</v>
      </c>
      <c r="I576" s="13">
        <v>4</v>
      </c>
      <c r="J576" s="13">
        <v>4</v>
      </c>
      <c r="K576" s="13">
        <v>0</v>
      </c>
      <c r="L576" s="13">
        <v>2</v>
      </c>
      <c r="M576" s="13"/>
      <c r="N576" s="13"/>
      <c r="O576" s="13"/>
      <c r="P576" s="13"/>
      <c r="Q576" s="13"/>
      <c r="R576" s="13" t="s">
        <v>8</v>
      </c>
      <c r="S576" s="13" t="s">
        <v>13</v>
      </c>
    </row>
    <row r="577" spans="2:19">
      <c r="B577" s="13"/>
      <c r="C577" s="14">
        <v>264492</v>
      </c>
      <c r="D577" s="13" t="s">
        <v>211</v>
      </c>
      <c r="E577" s="13" t="s">
        <v>384</v>
      </c>
      <c r="F577" s="13"/>
      <c r="G577" s="13" t="s">
        <v>81</v>
      </c>
      <c r="H577" s="13" t="s">
        <v>16</v>
      </c>
      <c r="I577" s="13">
        <v>5</v>
      </c>
      <c r="J577" s="13">
        <v>5</v>
      </c>
      <c r="K577" s="13">
        <v>0</v>
      </c>
      <c r="L577" s="13">
        <v>2</v>
      </c>
      <c r="M577" s="13"/>
      <c r="N577" s="13"/>
      <c r="O577" s="13"/>
      <c r="P577" s="13"/>
      <c r="Q577" s="13"/>
      <c r="R577" s="13" t="s">
        <v>8</v>
      </c>
      <c r="S577" s="13" t="s">
        <v>13</v>
      </c>
    </row>
    <row r="578" spans="2:19">
      <c r="B578" s="13"/>
      <c r="C578" s="14">
        <v>264492</v>
      </c>
      <c r="D578" s="13" t="s">
        <v>211</v>
      </c>
      <c r="E578" s="13" t="s">
        <v>385</v>
      </c>
      <c r="F578" s="13"/>
      <c r="G578" s="13" t="s">
        <v>81</v>
      </c>
      <c r="H578" s="13" t="s">
        <v>16</v>
      </c>
      <c r="I578" s="13">
        <v>5</v>
      </c>
      <c r="J578" s="13">
        <v>5</v>
      </c>
      <c r="K578" s="13">
        <v>0</v>
      </c>
      <c r="L578" s="13">
        <v>2</v>
      </c>
      <c r="M578" s="13"/>
      <c r="N578" s="13"/>
      <c r="O578" s="13"/>
      <c r="P578" s="13"/>
      <c r="Q578" s="13"/>
      <c r="R578" s="13" t="s">
        <v>8</v>
      </c>
      <c r="S578" s="13" t="s">
        <v>13</v>
      </c>
    </row>
    <row r="579" spans="2:19">
      <c r="B579" s="13"/>
      <c r="C579" s="14">
        <v>264492</v>
      </c>
      <c r="D579" s="13" t="s">
        <v>211</v>
      </c>
      <c r="E579" s="13" t="s">
        <v>386</v>
      </c>
      <c r="F579" s="13"/>
      <c r="G579" s="13" t="s">
        <v>35</v>
      </c>
      <c r="H579" s="13" t="s">
        <v>16</v>
      </c>
      <c r="I579" s="13">
        <v>4</v>
      </c>
      <c r="J579" s="13">
        <v>4</v>
      </c>
      <c r="K579" s="13">
        <v>0</v>
      </c>
      <c r="L579" s="13">
        <v>2</v>
      </c>
      <c r="M579" s="13"/>
      <c r="N579" s="13"/>
      <c r="O579" s="13"/>
      <c r="P579" s="13"/>
      <c r="Q579" s="13"/>
      <c r="R579" s="13" t="s">
        <v>8</v>
      </c>
      <c r="S579" s="13" t="s">
        <v>13</v>
      </c>
    </row>
    <row r="580" spans="2:19">
      <c r="B580" s="13"/>
      <c r="C580" s="14">
        <v>264492</v>
      </c>
      <c r="D580" s="13" t="s">
        <v>211</v>
      </c>
      <c r="E580" s="13" t="s">
        <v>387</v>
      </c>
      <c r="F580" s="13"/>
      <c r="G580" s="13" t="s">
        <v>35</v>
      </c>
      <c r="H580" s="13" t="s">
        <v>16</v>
      </c>
      <c r="I580" s="13">
        <v>4</v>
      </c>
      <c r="J580" s="13">
        <v>3.5</v>
      </c>
      <c r="K580" s="13">
        <v>0.5</v>
      </c>
      <c r="L580" s="13">
        <v>2</v>
      </c>
      <c r="M580" s="13"/>
      <c r="N580" s="13"/>
      <c r="O580" s="13"/>
      <c r="P580" s="13"/>
      <c r="Q580" s="13"/>
      <c r="R580" s="13" t="s">
        <v>8</v>
      </c>
      <c r="S580" s="13" t="s">
        <v>13</v>
      </c>
    </row>
    <row r="581" spans="2:19">
      <c r="B581" s="13"/>
      <c r="C581" s="14">
        <v>264492</v>
      </c>
      <c r="D581" s="13" t="s">
        <v>211</v>
      </c>
      <c r="E581" s="13" t="s">
        <v>388</v>
      </c>
      <c r="F581" s="13"/>
      <c r="G581" s="13" t="s">
        <v>81</v>
      </c>
      <c r="H581" s="13" t="s">
        <v>23</v>
      </c>
      <c r="I581" s="13">
        <v>2</v>
      </c>
      <c r="J581" s="13">
        <v>1</v>
      </c>
      <c r="K581" s="13">
        <v>0</v>
      </c>
      <c r="L581" s="13">
        <v>2</v>
      </c>
      <c r="M581" s="13"/>
      <c r="N581" s="13"/>
      <c r="O581" s="13"/>
      <c r="P581" s="13"/>
      <c r="Q581" s="13" t="s">
        <v>82</v>
      </c>
      <c r="R581" s="13" t="s">
        <v>9</v>
      </c>
      <c r="S581" s="13" t="s">
        <v>9</v>
      </c>
    </row>
    <row r="582" spans="2:19">
      <c r="B582" s="13"/>
      <c r="C582" s="14">
        <v>264494</v>
      </c>
      <c r="D582" s="13" t="s">
        <v>211</v>
      </c>
      <c r="E582" s="13" t="s">
        <v>389</v>
      </c>
      <c r="F582" s="13"/>
      <c r="G582" s="13" t="s">
        <v>81</v>
      </c>
      <c r="H582" s="13" t="s">
        <v>16</v>
      </c>
      <c r="I582" s="13">
        <v>4</v>
      </c>
      <c r="J582" s="13">
        <v>4</v>
      </c>
      <c r="K582" s="13">
        <v>0</v>
      </c>
      <c r="L582" s="13">
        <v>2</v>
      </c>
      <c r="M582" s="13"/>
      <c r="N582" s="13"/>
      <c r="O582" s="13"/>
      <c r="P582" s="13"/>
      <c r="Q582" s="13"/>
      <c r="R582" s="13" t="s">
        <v>8</v>
      </c>
      <c r="S582" s="13" t="s">
        <v>13</v>
      </c>
    </row>
    <row r="583" spans="2:19">
      <c r="B583" s="13"/>
      <c r="C583" s="14">
        <v>264494</v>
      </c>
      <c r="D583" s="13" t="s">
        <v>211</v>
      </c>
      <c r="E583" s="13" t="s">
        <v>390</v>
      </c>
      <c r="F583" s="13"/>
      <c r="G583" s="13" t="s">
        <v>81</v>
      </c>
      <c r="H583" s="13" t="s">
        <v>16</v>
      </c>
      <c r="I583" s="13">
        <v>4</v>
      </c>
      <c r="J583" s="13">
        <v>4</v>
      </c>
      <c r="K583" s="13">
        <v>0</v>
      </c>
      <c r="L583" s="13">
        <v>2</v>
      </c>
      <c r="M583" s="13"/>
      <c r="N583" s="13"/>
      <c r="O583" s="13"/>
      <c r="P583" s="13"/>
      <c r="Q583" s="13"/>
      <c r="R583" s="13" t="s">
        <v>8</v>
      </c>
      <c r="S583" s="13" t="s">
        <v>13</v>
      </c>
    </row>
    <row r="584" spans="2:19">
      <c r="B584" s="13"/>
      <c r="C584" s="14">
        <v>252825</v>
      </c>
      <c r="D584" s="13" t="s">
        <v>211</v>
      </c>
      <c r="E584" s="13" t="s">
        <v>292</v>
      </c>
      <c r="F584" s="13"/>
      <c r="G584" s="13" t="s">
        <v>81</v>
      </c>
      <c r="H584" s="13" t="s">
        <v>22</v>
      </c>
      <c r="I584" s="13">
        <v>7</v>
      </c>
      <c r="J584" s="13">
        <v>10.65</v>
      </c>
      <c r="K584" s="13">
        <v>0</v>
      </c>
      <c r="L584" s="13">
        <v>2</v>
      </c>
      <c r="M584" s="13"/>
      <c r="N584" s="13"/>
      <c r="O584" s="13"/>
      <c r="P584" s="13"/>
      <c r="Q584" s="13"/>
      <c r="R584" s="13" t="s">
        <v>9</v>
      </c>
      <c r="S584" s="13" t="s">
        <v>9</v>
      </c>
    </row>
    <row r="585" spans="2:19">
      <c r="B585" s="13"/>
      <c r="C585" s="14">
        <v>252825</v>
      </c>
      <c r="D585" s="13" t="s">
        <v>211</v>
      </c>
      <c r="E585" s="13" t="s">
        <v>293</v>
      </c>
      <c r="F585" s="13"/>
      <c r="G585" s="13" t="s">
        <v>81</v>
      </c>
      <c r="H585" s="13" t="s">
        <v>22</v>
      </c>
      <c r="I585" s="13">
        <v>7</v>
      </c>
      <c r="J585" s="13">
        <v>10</v>
      </c>
      <c r="K585" s="13">
        <v>0</v>
      </c>
      <c r="L585" s="13">
        <v>2</v>
      </c>
      <c r="M585" s="13"/>
      <c r="N585" s="13"/>
      <c r="O585" s="13"/>
      <c r="P585" s="13"/>
      <c r="Q585" s="13"/>
      <c r="R585" s="13" t="s">
        <v>9</v>
      </c>
      <c r="S585" s="13" t="s">
        <v>9</v>
      </c>
    </row>
    <row r="586" spans="2:19">
      <c r="B586" s="13"/>
      <c r="C586" s="14">
        <v>252825</v>
      </c>
      <c r="D586" s="13" t="s">
        <v>211</v>
      </c>
      <c r="E586" s="13" t="s">
        <v>295</v>
      </c>
      <c r="F586" s="13"/>
      <c r="G586" s="13" t="s">
        <v>81</v>
      </c>
      <c r="H586" s="13" t="s">
        <v>22</v>
      </c>
      <c r="I586" s="13">
        <v>7</v>
      </c>
      <c r="J586" s="13">
        <v>8</v>
      </c>
      <c r="K586" s="13">
        <v>0</v>
      </c>
      <c r="L586" s="13">
        <v>2</v>
      </c>
      <c r="M586" s="13"/>
      <c r="N586" s="13"/>
      <c r="O586" s="13"/>
      <c r="P586" s="13"/>
      <c r="Q586" s="13"/>
      <c r="R586" s="13" t="s">
        <v>9</v>
      </c>
      <c r="S586" s="13" t="s">
        <v>9</v>
      </c>
    </row>
    <row r="587" spans="2:19">
      <c r="B587" s="13"/>
      <c r="C587" s="14">
        <v>252825</v>
      </c>
      <c r="D587" s="13" t="s">
        <v>211</v>
      </c>
      <c r="E587" s="13" t="s">
        <v>294</v>
      </c>
      <c r="F587" s="13"/>
      <c r="G587" s="13" t="s">
        <v>81</v>
      </c>
      <c r="H587" s="13" t="s">
        <v>22</v>
      </c>
      <c r="I587" s="13">
        <v>7</v>
      </c>
      <c r="J587" s="13">
        <v>7</v>
      </c>
      <c r="K587" s="13">
        <v>0</v>
      </c>
      <c r="L587" s="13">
        <v>2</v>
      </c>
      <c r="M587" s="13"/>
      <c r="N587" s="13"/>
      <c r="O587" s="13"/>
      <c r="P587" s="13"/>
      <c r="Q587" s="13"/>
      <c r="R587" s="13" t="s">
        <v>9</v>
      </c>
      <c r="S587" s="13" t="s">
        <v>9</v>
      </c>
    </row>
    <row r="588" spans="2:19">
      <c r="B588" s="13"/>
      <c r="C588" s="14">
        <v>252825</v>
      </c>
      <c r="D588" s="13" t="s">
        <v>211</v>
      </c>
      <c r="E588" s="13" t="s">
        <v>296</v>
      </c>
      <c r="F588" s="13"/>
      <c r="G588" s="13" t="s">
        <v>81</v>
      </c>
      <c r="H588" s="13" t="s">
        <v>22</v>
      </c>
      <c r="I588" s="13">
        <v>6</v>
      </c>
      <c r="J588" s="13">
        <v>10</v>
      </c>
      <c r="K588" s="13">
        <v>0</v>
      </c>
      <c r="L588" s="13">
        <v>2</v>
      </c>
      <c r="M588" s="13"/>
      <c r="N588" s="13"/>
      <c r="O588" s="13"/>
      <c r="P588" s="13"/>
      <c r="Q588" s="13"/>
      <c r="R588" s="13" t="s">
        <v>9</v>
      </c>
      <c r="S588" s="13" t="s">
        <v>9</v>
      </c>
    </row>
    <row r="589" spans="2:19">
      <c r="B589" s="13"/>
      <c r="C589" s="14">
        <v>252825</v>
      </c>
      <c r="D589" s="13" t="s">
        <v>211</v>
      </c>
      <c r="E589" s="13" t="s">
        <v>297</v>
      </c>
      <c r="F589" s="13"/>
      <c r="G589" s="13" t="s">
        <v>81</v>
      </c>
      <c r="H589" s="13" t="s">
        <v>22</v>
      </c>
      <c r="I589" s="13">
        <v>4</v>
      </c>
      <c r="J589" s="13">
        <v>7.25</v>
      </c>
      <c r="K589" s="13">
        <v>0</v>
      </c>
      <c r="L589" s="13">
        <v>2</v>
      </c>
      <c r="M589" s="13"/>
      <c r="N589" s="13"/>
      <c r="O589" s="13"/>
      <c r="P589" s="13"/>
      <c r="Q589" s="13"/>
      <c r="R589" s="13" t="s">
        <v>9</v>
      </c>
      <c r="S589" s="13" t="s">
        <v>9</v>
      </c>
    </row>
    <row r="590" spans="2:19">
      <c r="B590" s="13"/>
      <c r="C590" s="14">
        <v>252825</v>
      </c>
      <c r="D590" s="13" t="s">
        <v>211</v>
      </c>
      <c r="E590" s="13" t="s">
        <v>298</v>
      </c>
      <c r="F590" s="13"/>
      <c r="G590" s="13" t="s">
        <v>81</v>
      </c>
      <c r="H590" s="13" t="s">
        <v>22</v>
      </c>
      <c r="I590" s="13">
        <v>7</v>
      </c>
      <c r="J590" s="13">
        <v>7</v>
      </c>
      <c r="K590" s="13">
        <v>0</v>
      </c>
      <c r="L590" s="13">
        <v>2</v>
      </c>
      <c r="M590" s="13"/>
      <c r="N590" s="13"/>
      <c r="O590" s="13"/>
      <c r="P590" s="13"/>
      <c r="Q590" s="13"/>
      <c r="R590" s="13" t="s">
        <v>9</v>
      </c>
      <c r="S590" s="13" t="s">
        <v>9</v>
      </c>
    </row>
    <row r="591" spans="2:19">
      <c r="B591" s="13"/>
      <c r="C591" s="14">
        <v>252825</v>
      </c>
      <c r="D591" s="13" t="s">
        <v>211</v>
      </c>
      <c r="E591" s="13" t="s">
        <v>391</v>
      </c>
      <c r="F591" s="13"/>
      <c r="G591" s="13" t="s">
        <v>81</v>
      </c>
      <c r="H591" s="13" t="s">
        <v>22</v>
      </c>
      <c r="I591" s="13">
        <v>6</v>
      </c>
      <c r="J591" s="13">
        <v>7</v>
      </c>
      <c r="K591" s="13">
        <v>0</v>
      </c>
      <c r="L591" s="13">
        <v>2</v>
      </c>
      <c r="M591" s="13"/>
      <c r="N591" s="13"/>
      <c r="O591" s="13"/>
      <c r="P591" s="13"/>
      <c r="Q591" s="13"/>
      <c r="R591" s="13" t="s">
        <v>9</v>
      </c>
      <c r="S591" s="13" t="s">
        <v>9</v>
      </c>
    </row>
    <row r="592" spans="2:19">
      <c r="B592" s="13"/>
      <c r="C592" s="14">
        <v>252825</v>
      </c>
      <c r="D592" s="13" t="s">
        <v>211</v>
      </c>
      <c r="E592" s="13" t="s">
        <v>392</v>
      </c>
      <c r="F592" s="13"/>
      <c r="G592" s="13" t="s">
        <v>81</v>
      </c>
      <c r="H592" s="13" t="s">
        <v>22</v>
      </c>
      <c r="I592" s="13">
        <v>7</v>
      </c>
      <c r="J592" s="13">
        <v>7.5</v>
      </c>
      <c r="K592" s="13">
        <v>0</v>
      </c>
      <c r="L592" s="13">
        <v>2</v>
      </c>
      <c r="M592" s="13"/>
      <c r="N592" s="13"/>
      <c r="O592" s="13"/>
      <c r="P592" s="13"/>
      <c r="Q592" s="13" t="s">
        <v>393</v>
      </c>
      <c r="R592" s="13" t="s">
        <v>9</v>
      </c>
      <c r="S592" s="13" t="s">
        <v>9</v>
      </c>
    </row>
    <row r="593" spans="2:19">
      <c r="B593" s="13"/>
      <c r="C593" s="14">
        <v>252825</v>
      </c>
      <c r="D593" s="13" t="s">
        <v>211</v>
      </c>
      <c r="E593" s="13" t="s">
        <v>394</v>
      </c>
      <c r="F593" s="13"/>
      <c r="G593" s="13" t="s">
        <v>81</v>
      </c>
      <c r="H593" s="13" t="s">
        <v>22</v>
      </c>
      <c r="I593" s="13">
        <v>7</v>
      </c>
      <c r="J593" s="13">
        <v>5.5</v>
      </c>
      <c r="K593" s="13">
        <v>1.5</v>
      </c>
      <c r="L593" s="13">
        <v>2</v>
      </c>
      <c r="M593" s="13"/>
      <c r="N593" s="13"/>
      <c r="O593" s="13"/>
      <c r="P593" s="13"/>
      <c r="Q593" s="13"/>
      <c r="R593" s="13" t="s">
        <v>9</v>
      </c>
      <c r="S593" s="13" t="s">
        <v>9</v>
      </c>
    </row>
    <row r="594" spans="2:19">
      <c r="B594" s="13"/>
      <c r="C594" s="14">
        <v>252825</v>
      </c>
      <c r="D594" s="13" t="s">
        <v>211</v>
      </c>
      <c r="E594" s="13" t="s">
        <v>395</v>
      </c>
      <c r="F594" s="13"/>
      <c r="G594" s="13" t="s">
        <v>81</v>
      </c>
      <c r="H594" s="13" t="s">
        <v>22</v>
      </c>
      <c r="I594" s="13">
        <v>5</v>
      </c>
      <c r="J594" s="13">
        <v>5</v>
      </c>
      <c r="K594" s="13">
        <v>0</v>
      </c>
      <c r="L594" s="13">
        <v>2</v>
      </c>
      <c r="M594" s="13"/>
      <c r="N594" s="13"/>
      <c r="O594" s="13"/>
      <c r="P594" s="13"/>
      <c r="Q594" s="13"/>
      <c r="R594" s="13" t="s">
        <v>9</v>
      </c>
      <c r="S594" s="13" t="s">
        <v>9</v>
      </c>
    </row>
    <row r="595" spans="2:19">
      <c r="B595" s="13"/>
      <c r="C595" s="14">
        <v>252825</v>
      </c>
      <c r="D595" s="13" t="s">
        <v>211</v>
      </c>
      <c r="E595" s="13" t="s">
        <v>396</v>
      </c>
      <c r="F595" s="13"/>
      <c r="G595" s="13" t="s">
        <v>81</v>
      </c>
      <c r="H595" s="13" t="s">
        <v>22</v>
      </c>
      <c r="I595" s="13">
        <v>4</v>
      </c>
      <c r="J595" s="13">
        <v>4</v>
      </c>
      <c r="K595" s="13">
        <v>0</v>
      </c>
      <c r="L595" s="13">
        <v>2</v>
      </c>
      <c r="M595" s="13"/>
      <c r="N595" s="13"/>
      <c r="O595" s="13"/>
      <c r="P595" s="13"/>
      <c r="Q595" s="13"/>
      <c r="R595" s="13" t="s">
        <v>9</v>
      </c>
      <c r="S595" s="13" t="s">
        <v>9</v>
      </c>
    </row>
    <row r="596" spans="2:19">
      <c r="B596" s="13"/>
      <c r="C596" s="14">
        <v>252825</v>
      </c>
      <c r="D596" s="13" t="s">
        <v>211</v>
      </c>
      <c r="E596" s="13" t="s">
        <v>397</v>
      </c>
      <c r="F596" s="13"/>
      <c r="G596" s="13" t="s">
        <v>81</v>
      </c>
      <c r="H596" s="13" t="s">
        <v>22</v>
      </c>
      <c r="I596" s="13">
        <v>7</v>
      </c>
      <c r="J596" s="13">
        <v>3</v>
      </c>
      <c r="K596" s="13">
        <v>4</v>
      </c>
      <c r="L596" s="13">
        <v>2</v>
      </c>
      <c r="M596" s="13"/>
      <c r="N596" s="13"/>
      <c r="O596" s="13"/>
      <c r="P596" s="13"/>
      <c r="Q596" s="13"/>
      <c r="R596" s="13" t="s">
        <v>9</v>
      </c>
      <c r="S596" s="13" t="s">
        <v>9</v>
      </c>
    </row>
    <row r="597" spans="2:19">
      <c r="B597" s="13"/>
      <c r="C597" s="14">
        <v>252825</v>
      </c>
      <c r="D597" s="13" t="s">
        <v>211</v>
      </c>
      <c r="E597" s="13" t="s">
        <v>398</v>
      </c>
      <c r="F597" s="13"/>
      <c r="G597" s="13" t="s">
        <v>81</v>
      </c>
      <c r="H597" s="13" t="s">
        <v>18</v>
      </c>
      <c r="I597" s="13">
        <v>5</v>
      </c>
      <c r="J597" s="13">
        <v>5</v>
      </c>
      <c r="K597" s="13">
        <v>0</v>
      </c>
      <c r="L597" s="13">
        <v>2</v>
      </c>
      <c r="M597" s="13"/>
      <c r="N597" s="13"/>
      <c r="O597" s="13"/>
      <c r="P597" s="13"/>
      <c r="Q597" s="13"/>
      <c r="R597" s="13" t="s">
        <v>8</v>
      </c>
      <c r="S597" s="13" t="s">
        <v>8</v>
      </c>
    </row>
    <row r="598" spans="2:19">
      <c r="B598" s="13"/>
      <c r="C598" s="14">
        <v>252825</v>
      </c>
      <c r="D598" s="13" t="s">
        <v>211</v>
      </c>
      <c r="E598" s="13" t="s">
        <v>399</v>
      </c>
      <c r="F598" s="13"/>
      <c r="G598" s="13" t="s">
        <v>81</v>
      </c>
      <c r="H598" s="13" t="s">
        <v>22</v>
      </c>
      <c r="I598" s="13">
        <v>4</v>
      </c>
      <c r="J598" s="13">
        <v>4</v>
      </c>
      <c r="K598" s="13">
        <v>0</v>
      </c>
      <c r="L598" s="13">
        <v>2</v>
      </c>
      <c r="M598" s="13"/>
      <c r="N598" s="13"/>
      <c r="O598" s="13"/>
      <c r="P598" s="13"/>
      <c r="Q598" s="13"/>
      <c r="R598" s="13" t="s">
        <v>9</v>
      </c>
      <c r="S598" s="13" t="s">
        <v>9</v>
      </c>
    </row>
    <row r="599" spans="2:19">
      <c r="B599" s="13"/>
      <c r="C599" s="14">
        <v>252825</v>
      </c>
      <c r="D599" s="13" t="s">
        <v>211</v>
      </c>
      <c r="E599" s="13" t="s">
        <v>400</v>
      </c>
      <c r="F599" s="13"/>
      <c r="G599" s="13" t="s">
        <v>81</v>
      </c>
      <c r="H599" s="13" t="s">
        <v>20</v>
      </c>
      <c r="I599" s="13">
        <v>7</v>
      </c>
      <c r="J599" s="13">
        <v>7</v>
      </c>
      <c r="K599" s="13">
        <v>0</v>
      </c>
      <c r="L599" s="13">
        <v>2</v>
      </c>
      <c r="M599" s="13"/>
      <c r="N599" s="13"/>
      <c r="O599" s="13"/>
      <c r="P599" s="13"/>
      <c r="Q599" s="13" t="s">
        <v>83</v>
      </c>
      <c r="R599" s="13" t="s">
        <v>8</v>
      </c>
      <c r="S599" s="13" t="s">
        <v>8</v>
      </c>
    </row>
    <row r="600" spans="2:19">
      <c r="B600" s="13"/>
      <c r="C600" s="14">
        <v>252825</v>
      </c>
      <c r="D600" s="13" t="s">
        <v>211</v>
      </c>
      <c r="E600" s="13" t="s">
        <v>401</v>
      </c>
      <c r="F600" s="13"/>
      <c r="G600" s="13" t="s">
        <v>81</v>
      </c>
      <c r="H600" s="13" t="s">
        <v>18</v>
      </c>
      <c r="I600" s="13">
        <v>7</v>
      </c>
      <c r="J600" s="13">
        <v>7</v>
      </c>
      <c r="K600" s="13">
        <v>0</v>
      </c>
      <c r="L600" s="13">
        <v>2</v>
      </c>
      <c r="M600" s="13"/>
      <c r="N600" s="13"/>
      <c r="O600" s="13"/>
      <c r="P600" s="13"/>
      <c r="Q600" s="13"/>
      <c r="R600" s="13" t="s">
        <v>8</v>
      </c>
      <c r="S600" s="13" t="s">
        <v>8</v>
      </c>
    </row>
    <row r="601" spans="2:19">
      <c r="B601" s="13"/>
      <c r="C601" s="14">
        <v>252825</v>
      </c>
      <c r="D601" s="13" t="s">
        <v>211</v>
      </c>
      <c r="E601" s="13" t="s">
        <v>402</v>
      </c>
      <c r="F601" s="13"/>
      <c r="G601" s="13" t="s">
        <v>81</v>
      </c>
      <c r="H601" s="13" t="s">
        <v>18</v>
      </c>
      <c r="I601" s="13">
        <v>7</v>
      </c>
      <c r="J601" s="13">
        <v>7</v>
      </c>
      <c r="K601" s="13">
        <v>0</v>
      </c>
      <c r="L601" s="13">
        <v>2</v>
      </c>
      <c r="M601" s="13"/>
      <c r="N601" s="13"/>
      <c r="O601" s="13"/>
      <c r="P601" s="13"/>
      <c r="Q601" s="13"/>
      <c r="R601" s="13" t="s">
        <v>8</v>
      </c>
      <c r="S601" s="13" t="s">
        <v>8</v>
      </c>
    </row>
    <row r="602" spans="2:19">
      <c r="B602" s="13"/>
      <c r="C602" s="14">
        <v>252825</v>
      </c>
      <c r="D602" s="13" t="s">
        <v>211</v>
      </c>
      <c r="E602" s="13" t="s">
        <v>403</v>
      </c>
      <c r="F602" s="13"/>
      <c r="G602" s="13" t="s">
        <v>81</v>
      </c>
      <c r="H602" s="13" t="s">
        <v>7</v>
      </c>
      <c r="I602" s="13">
        <v>7</v>
      </c>
      <c r="J602" s="13">
        <v>7</v>
      </c>
      <c r="K602" s="13">
        <v>0</v>
      </c>
      <c r="L602" s="13">
        <v>2</v>
      </c>
      <c r="M602" s="13"/>
      <c r="N602" s="13"/>
      <c r="O602" s="13"/>
      <c r="P602" s="13"/>
      <c r="Q602" s="13"/>
      <c r="R602" s="13" t="s">
        <v>8</v>
      </c>
      <c r="S602" s="13" t="s">
        <v>8</v>
      </c>
    </row>
    <row r="603" spans="2:19">
      <c r="B603" s="13"/>
      <c r="C603" s="14">
        <v>252825</v>
      </c>
      <c r="D603" s="13" t="s">
        <v>211</v>
      </c>
      <c r="E603" s="13" t="s">
        <v>404</v>
      </c>
      <c r="F603" s="13"/>
      <c r="G603" s="13" t="s">
        <v>81</v>
      </c>
      <c r="H603" s="13" t="s">
        <v>20</v>
      </c>
      <c r="I603" s="13">
        <v>7</v>
      </c>
      <c r="J603" s="13">
        <v>7</v>
      </c>
      <c r="K603" s="13">
        <v>0</v>
      </c>
      <c r="L603" s="13">
        <v>2</v>
      </c>
      <c r="M603" s="13"/>
      <c r="N603" s="13"/>
      <c r="O603" s="13"/>
      <c r="P603" s="13"/>
      <c r="Q603" s="13"/>
      <c r="R603" s="13" t="s">
        <v>8</v>
      </c>
      <c r="S603" s="13" t="s">
        <v>8</v>
      </c>
    </row>
    <row r="604" spans="2:19">
      <c r="B604" s="13"/>
      <c r="C604" s="14">
        <v>252825</v>
      </c>
      <c r="D604" s="13" t="s">
        <v>211</v>
      </c>
      <c r="E604" s="13" t="s">
        <v>405</v>
      </c>
      <c r="F604" s="13"/>
      <c r="G604" s="13" t="s">
        <v>81</v>
      </c>
      <c r="H604" s="13" t="s">
        <v>20</v>
      </c>
      <c r="I604" s="13">
        <v>7</v>
      </c>
      <c r="J604" s="13">
        <v>7</v>
      </c>
      <c r="K604" s="13">
        <v>0</v>
      </c>
      <c r="L604" s="13">
        <v>2</v>
      </c>
      <c r="M604" s="13"/>
      <c r="N604" s="13"/>
      <c r="O604" s="13"/>
      <c r="P604" s="13"/>
      <c r="Q604" s="13"/>
      <c r="R604" s="13" t="s">
        <v>8</v>
      </c>
      <c r="S604" s="13" t="s">
        <v>8</v>
      </c>
    </row>
    <row r="605" spans="2:19">
      <c r="B605" s="13"/>
      <c r="C605" s="14">
        <v>252825</v>
      </c>
      <c r="D605" s="13" t="s">
        <v>211</v>
      </c>
      <c r="E605" s="13" t="s">
        <v>406</v>
      </c>
      <c r="F605" s="13"/>
      <c r="G605" s="13" t="s">
        <v>81</v>
      </c>
      <c r="H605" s="13" t="s">
        <v>7</v>
      </c>
      <c r="I605" s="13">
        <v>14</v>
      </c>
      <c r="J605" s="13">
        <v>4</v>
      </c>
      <c r="K605" s="13">
        <v>10</v>
      </c>
      <c r="L605" s="13">
        <v>2</v>
      </c>
      <c r="M605" s="13"/>
      <c r="N605" s="13"/>
      <c r="O605" s="13"/>
      <c r="P605" s="13"/>
      <c r="Q605" s="13" t="s">
        <v>340</v>
      </c>
      <c r="R605" s="13" t="s">
        <v>8</v>
      </c>
      <c r="S605" s="13" t="s">
        <v>8</v>
      </c>
    </row>
    <row r="606" spans="2:19">
      <c r="B606" s="13"/>
      <c r="C606" s="14">
        <v>252825</v>
      </c>
      <c r="D606" s="13" t="s">
        <v>211</v>
      </c>
      <c r="E606" s="13" t="s">
        <v>407</v>
      </c>
      <c r="F606" s="13"/>
      <c r="G606" s="13" t="s">
        <v>81</v>
      </c>
      <c r="H606" s="13" t="s">
        <v>20</v>
      </c>
      <c r="I606" s="13">
        <v>7</v>
      </c>
      <c r="J606" s="13">
        <v>7</v>
      </c>
      <c r="K606" s="13">
        <v>0</v>
      </c>
      <c r="L606" s="13">
        <v>2</v>
      </c>
      <c r="M606" s="13"/>
      <c r="N606" s="13"/>
      <c r="O606" s="13"/>
      <c r="P606" s="13"/>
      <c r="Q606" s="13" t="s">
        <v>83</v>
      </c>
      <c r="R606" s="13" t="s">
        <v>8</v>
      </c>
      <c r="S606" s="13" t="s">
        <v>8</v>
      </c>
    </row>
    <row r="607" spans="2:19">
      <c r="B607" s="13"/>
      <c r="C607" s="14">
        <v>252825</v>
      </c>
      <c r="D607" s="13" t="s">
        <v>211</v>
      </c>
      <c r="E607" s="13" t="s">
        <v>408</v>
      </c>
      <c r="F607" s="13"/>
      <c r="G607" s="13" t="s">
        <v>81</v>
      </c>
      <c r="H607" s="13" t="s">
        <v>7</v>
      </c>
      <c r="I607" s="13">
        <v>5</v>
      </c>
      <c r="J607" s="13">
        <v>5</v>
      </c>
      <c r="K607" s="13">
        <v>0</v>
      </c>
      <c r="L607" s="13">
        <v>2</v>
      </c>
      <c r="M607" s="13"/>
      <c r="N607" s="13"/>
      <c r="O607" s="13"/>
      <c r="P607" s="13"/>
      <c r="Q607" s="13"/>
      <c r="R607" s="13" t="s">
        <v>8</v>
      </c>
      <c r="S607" s="13" t="s">
        <v>8</v>
      </c>
    </row>
    <row r="608" spans="2:19">
      <c r="B608" s="13"/>
      <c r="C608" s="14">
        <v>252825</v>
      </c>
      <c r="D608" s="13" t="s">
        <v>211</v>
      </c>
      <c r="E608" s="13" t="s">
        <v>409</v>
      </c>
      <c r="F608" s="13"/>
      <c r="G608" s="13" t="s">
        <v>81</v>
      </c>
      <c r="H608" s="13" t="s">
        <v>18</v>
      </c>
      <c r="I608" s="13">
        <v>7</v>
      </c>
      <c r="J608" s="13">
        <v>7</v>
      </c>
      <c r="K608" s="13">
        <v>0</v>
      </c>
      <c r="L608" s="13">
        <v>2</v>
      </c>
      <c r="M608" s="13"/>
      <c r="N608" s="13"/>
      <c r="O608" s="13"/>
      <c r="P608" s="13"/>
      <c r="Q608" s="13"/>
      <c r="R608" s="13" t="s">
        <v>8</v>
      </c>
      <c r="S608" s="13" t="s">
        <v>8</v>
      </c>
    </row>
    <row r="609" spans="2:19">
      <c r="B609" s="13"/>
      <c r="C609" s="14">
        <v>252825</v>
      </c>
      <c r="D609" s="13" t="s">
        <v>211</v>
      </c>
      <c r="E609" s="13" t="s">
        <v>410</v>
      </c>
      <c r="F609" s="13"/>
      <c r="G609" s="13" t="s">
        <v>81</v>
      </c>
      <c r="H609" s="13" t="s">
        <v>20</v>
      </c>
      <c r="I609" s="13">
        <v>7</v>
      </c>
      <c r="J609" s="13">
        <v>7</v>
      </c>
      <c r="K609" s="13">
        <v>0</v>
      </c>
      <c r="L609" s="13">
        <v>2</v>
      </c>
      <c r="M609" s="13"/>
      <c r="N609" s="13"/>
      <c r="O609" s="13"/>
      <c r="P609" s="13"/>
      <c r="Q609" s="13"/>
      <c r="R609" s="13" t="s">
        <v>8</v>
      </c>
      <c r="S609" s="13" t="s">
        <v>8</v>
      </c>
    </row>
    <row r="610" spans="2:19">
      <c r="B610" s="13"/>
      <c r="C610" s="14">
        <v>252825</v>
      </c>
      <c r="D610" s="13" t="s">
        <v>211</v>
      </c>
      <c r="E610" s="13" t="s">
        <v>411</v>
      </c>
      <c r="F610" s="13"/>
      <c r="G610" s="13" t="s">
        <v>81</v>
      </c>
      <c r="H610" s="13" t="s">
        <v>20</v>
      </c>
      <c r="I610" s="13">
        <v>3</v>
      </c>
      <c r="J610" s="13">
        <v>3</v>
      </c>
      <c r="K610" s="13">
        <v>0</v>
      </c>
      <c r="L610" s="13">
        <v>2</v>
      </c>
      <c r="M610" s="13"/>
      <c r="N610" s="13"/>
      <c r="O610" s="13"/>
      <c r="P610" s="13"/>
      <c r="Q610" s="13"/>
      <c r="R610" s="13" t="s">
        <v>8</v>
      </c>
      <c r="S610" s="13" t="s">
        <v>8</v>
      </c>
    </row>
    <row r="611" spans="2:19">
      <c r="B611" s="13"/>
      <c r="C611" s="14">
        <v>252825</v>
      </c>
      <c r="D611" s="13" t="s">
        <v>211</v>
      </c>
      <c r="E611" s="13" t="s">
        <v>412</v>
      </c>
      <c r="F611" s="13"/>
      <c r="G611" s="13" t="s">
        <v>81</v>
      </c>
      <c r="H611" s="13" t="s">
        <v>18</v>
      </c>
      <c r="I611" s="13">
        <v>7</v>
      </c>
      <c r="J611" s="13">
        <v>7</v>
      </c>
      <c r="K611" s="13">
        <v>0</v>
      </c>
      <c r="L611" s="13">
        <v>2</v>
      </c>
      <c r="M611" s="13"/>
      <c r="N611" s="13"/>
      <c r="O611" s="13"/>
      <c r="P611" s="13"/>
      <c r="Q611" s="13"/>
      <c r="R611" s="13" t="s">
        <v>8</v>
      </c>
      <c r="S611" s="13" t="s">
        <v>8</v>
      </c>
    </row>
    <row r="612" spans="2:19">
      <c r="B612" s="13"/>
      <c r="C612" s="14">
        <v>252825</v>
      </c>
      <c r="D612" s="13" t="s">
        <v>211</v>
      </c>
      <c r="E612" s="13" t="s">
        <v>413</v>
      </c>
      <c r="F612" s="13"/>
      <c r="G612" s="13" t="s">
        <v>81</v>
      </c>
      <c r="H612" s="13" t="s">
        <v>22</v>
      </c>
      <c r="I612" s="13">
        <v>4</v>
      </c>
      <c r="J612" s="13">
        <v>3</v>
      </c>
      <c r="K612" s="13">
        <v>1</v>
      </c>
      <c r="L612" s="13">
        <v>2</v>
      </c>
      <c r="M612" s="13"/>
      <c r="N612" s="13"/>
      <c r="O612" s="13"/>
      <c r="P612" s="13"/>
      <c r="Q612" s="13" t="s">
        <v>340</v>
      </c>
      <c r="R612" s="13" t="s">
        <v>9</v>
      </c>
      <c r="S612" s="13" t="s">
        <v>9</v>
      </c>
    </row>
    <row r="613" spans="2:19">
      <c r="B613" s="13"/>
      <c r="C613" s="14">
        <v>262102</v>
      </c>
      <c r="D613" s="13" t="s">
        <v>211</v>
      </c>
      <c r="E613" s="13" t="s">
        <v>276</v>
      </c>
      <c r="F613" s="13"/>
      <c r="G613" s="13" t="s">
        <v>77</v>
      </c>
      <c r="H613" s="13" t="s">
        <v>14</v>
      </c>
      <c r="I613" s="13">
        <v>5</v>
      </c>
      <c r="J613" s="13">
        <v>5</v>
      </c>
      <c r="K613" s="13">
        <v>0</v>
      </c>
      <c r="L613" s="13">
        <v>2</v>
      </c>
      <c r="M613" s="13"/>
      <c r="N613" s="13"/>
      <c r="O613" s="13"/>
      <c r="P613" s="13"/>
      <c r="Q613" s="13"/>
      <c r="R613" s="13" t="s">
        <v>226</v>
      </c>
      <c r="S613" s="13" t="s">
        <v>15</v>
      </c>
    </row>
    <row r="614" spans="2:19">
      <c r="B614" s="13"/>
      <c r="C614" s="14">
        <v>260487</v>
      </c>
      <c r="D614" s="13" t="s">
        <v>211</v>
      </c>
      <c r="E614" s="13" t="s">
        <v>278</v>
      </c>
      <c r="F614" s="13"/>
      <c r="G614" s="13" t="s">
        <v>81</v>
      </c>
      <c r="H614" s="13" t="s">
        <v>14</v>
      </c>
      <c r="I614" s="13">
        <v>2</v>
      </c>
      <c r="J614" s="13">
        <v>0</v>
      </c>
      <c r="K614" s="13">
        <v>2</v>
      </c>
      <c r="L614" s="13">
        <v>2</v>
      </c>
      <c r="M614" s="13"/>
      <c r="N614" s="13"/>
      <c r="O614" s="13"/>
      <c r="P614" s="13"/>
      <c r="Q614" s="13"/>
      <c r="R614" s="13" t="s">
        <v>226</v>
      </c>
      <c r="S614" s="13" t="s">
        <v>15</v>
      </c>
    </row>
    <row r="615" spans="2:19">
      <c r="B615" s="13"/>
      <c r="C615" s="14">
        <v>263833</v>
      </c>
      <c r="D615" s="13" t="s">
        <v>211</v>
      </c>
      <c r="E615" s="13" t="s">
        <v>281</v>
      </c>
      <c r="F615" s="13"/>
      <c r="G615" s="13" t="s">
        <v>81</v>
      </c>
      <c r="H615" s="13" t="s">
        <v>217</v>
      </c>
      <c r="I615" s="13">
        <v>0</v>
      </c>
      <c r="J615" s="13">
        <v>7.08</v>
      </c>
      <c r="K615" s="13">
        <v>0</v>
      </c>
      <c r="L615" s="13">
        <v>2</v>
      </c>
      <c r="M615" s="13"/>
      <c r="N615" s="13"/>
      <c r="O615" s="13"/>
      <c r="P615" s="13"/>
      <c r="Q615" s="13"/>
      <c r="R615" s="13" t="s">
        <v>280</v>
      </c>
      <c r="S615" s="13" t="s">
        <v>9</v>
      </c>
    </row>
    <row r="616" spans="2:19">
      <c r="B616" s="13"/>
      <c r="C616" s="14">
        <v>263833</v>
      </c>
      <c r="D616" s="13" t="s">
        <v>211</v>
      </c>
      <c r="E616" s="13" t="s">
        <v>285</v>
      </c>
      <c r="F616" s="13"/>
      <c r="G616" s="13" t="s">
        <v>81</v>
      </c>
      <c r="H616" s="13" t="s">
        <v>22</v>
      </c>
      <c r="I616" s="13">
        <v>0</v>
      </c>
      <c r="J616" s="13">
        <v>11.02</v>
      </c>
      <c r="K616" s="13">
        <v>0</v>
      </c>
      <c r="L616" s="13">
        <v>2</v>
      </c>
      <c r="M616" s="13"/>
      <c r="N616" s="13"/>
      <c r="O616" s="13"/>
      <c r="P616" s="13"/>
      <c r="Q616" s="13"/>
      <c r="R616" s="13" t="s">
        <v>9</v>
      </c>
      <c r="S616" s="13" t="s">
        <v>9</v>
      </c>
    </row>
    <row r="617" spans="2:19">
      <c r="B617" s="13"/>
      <c r="C617" s="14">
        <v>263833</v>
      </c>
      <c r="D617" s="13" t="s">
        <v>211</v>
      </c>
      <c r="E617" s="13" t="s">
        <v>279</v>
      </c>
      <c r="F617" s="13"/>
      <c r="G617" s="13" t="s">
        <v>81</v>
      </c>
      <c r="H617" s="13" t="s">
        <v>7</v>
      </c>
      <c r="I617" s="13">
        <v>0</v>
      </c>
      <c r="J617" s="13">
        <v>47</v>
      </c>
      <c r="K617" s="13">
        <v>0</v>
      </c>
      <c r="L617" s="13">
        <v>2</v>
      </c>
      <c r="M617" s="13"/>
      <c r="N617" s="13"/>
      <c r="O617" s="13"/>
      <c r="P617" s="13"/>
      <c r="Q617" s="13"/>
      <c r="R617" s="13" t="s">
        <v>8</v>
      </c>
      <c r="S617" s="13" t="s">
        <v>8</v>
      </c>
    </row>
    <row r="618" spans="2:19">
      <c r="B618" s="13"/>
      <c r="C618" s="14">
        <v>263833</v>
      </c>
      <c r="D618" s="13" t="s">
        <v>211</v>
      </c>
      <c r="E618" s="13" t="s">
        <v>414</v>
      </c>
      <c r="F618" s="13"/>
      <c r="G618" s="13" t="s">
        <v>81</v>
      </c>
      <c r="H618" s="13" t="s">
        <v>16</v>
      </c>
      <c r="I618" s="13">
        <v>0</v>
      </c>
      <c r="J618" s="13">
        <v>22</v>
      </c>
      <c r="K618" s="13">
        <v>0</v>
      </c>
      <c r="L618" s="13">
        <v>2</v>
      </c>
      <c r="M618" s="13"/>
      <c r="N618" s="13"/>
      <c r="O618" s="13"/>
      <c r="P618" s="13"/>
      <c r="Q618" s="13"/>
      <c r="R618" s="13" t="s">
        <v>226</v>
      </c>
      <c r="S618" s="13" t="s">
        <v>13</v>
      </c>
    </row>
    <row r="619" spans="2:19">
      <c r="B619" s="13"/>
      <c r="C619" s="14">
        <v>263833</v>
      </c>
      <c r="D619" s="13" t="s">
        <v>211</v>
      </c>
      <c r="E619" s="13" t="s">
        <v>283</v>
      </c>
      <c r="F619" s="13"/>
      <c r="G619" s="13" t="s">
        <v>81</v>
      </c>
      <c r="H619" s="13" t="s">
        <v>20</v>
      </c>
      <c r="I619" s="13">
        <v>0</v>
      </c>
      <c r="J619" s="13">
        <v>21</v>
      </c>
      <c r="K619" s="13">
        <v>0</v>
      </c>
      <c r="L619" s="13">
        <v>2</v>
      </c>
      <c r="M619" s="13"/>
      <c r="N619" s="13"/>
      <c r="O619" s="13"/>
      <c r="P619" s="13"/>
      <c r="Q619" s="13"/>
      <c r="R619" s="13" t="s">
        <v>8</v>
      </c>
      <c r="S619" s="13" t="s">
        <v>8</v>
      </c>
    </row>
    <row r="620" spans="2:19">
      <c r="B620" s="13"/>
      <c r="C620" s="14">
        <v>263833</v>
      </c>
      <c r="D620" s="13" t="s">
        <v>211</v>
      </c>
      <c r="E620" s="13" t="s">
        <v>415</v>
      </c>
      <c r="F620" s="13"/>
      <c r="G620" s="13" t="s">
        <v>81</v>
      </c>
      <c r="H620" s="13" t="s">
        <v>14</v>
      </c>
      <c r="I620" s="13">
        <v>10</v>
      </c>
      <c r="J620" s="13">
        <v>9</v>
      </c>
      <c r="K620" s="13">
        <v>1</v>
      </c>
      <c r="L620" s="13">
        <v>2</v>
      </c>
      <c r="M620" s="13"/>
      <c r="N620" s="13"/>
      <c r="O620" s="13"/>
      <c r="P620" s="13"/>
      <c r="Q620" s="13"/>
      <c r="R620" s="13" t="s">
        <v>280</v>
      </c>
      <c r="S620" s="13" t="s">
        <v>15</v>
      </c>
    </row>
    <row r="621" spans="2:19">
      <c r="B621" s="13"/>
      <c r="C621" s="14">
        <v>263833</v>
      </c>
      <c r="D621" s="13" t="s">
        <v>211</v>
      </c>
      <c r="E621" s="13" t="s">
        <v>284</v>
      </c>
      <c r="F621" s="13"/>
      <c r="G621" s="13" t="s">
        <v>81</v>
      </c>
      <c r="H621" s="13" t="s">
        <v>18</v>
      </c>
      <c r="I621" s="13">
        <v>0</v>
      </c>
      <c r="J621" s="13">
        <v>14</v>
      </c>
      <c r="K621" s="13">
        <v>0</v>
      </c>
      <c r="L621" s="13">
        <v>2</v>
      </c>
      <c r="M621" s="13"/>
      <c r="N621" s="13"/>
      <c r="O621" s="13"/>
      <c r="P621" s="13"/>
      <c r="Q621" s="13"/>
      <c r="R621" s="13" t="s">
        <v>8</v>
      </c>
      <c r="S621" s="13" t="s">
        <v>8</v>
      </c>
    </row>
    <row r="622" spans="2:19">
      <c r="B622" s="13"/>
      <c r="C622" s="14">
        <v>263833</v>
      </c>
      <c r="D622" s="13" t="s">
        <v>211</v>
      </c>
      <c r="E622" s="13" t="s">
        <v>416</v>
      </c>
      <c r="F622" s="13"/>
      <c r="G622" s="13" t="s">
        <v>81</v>
      </c>
      <c r="H622" s="13" t="s">
        <v>23</v>
      </c>
      <c r="I622" s="13">
        <v>0</v>
      </c>
      <c r="J622" s="13">
        <v>13.67</v>
      </c>
      <c r="K622" s="13">
        <v>0</v>
      </c>
      <c r="L622" s="13">
        <v>2</v>
      </c>
      <c r="M622" s="13"/>
      <c r="N622" s="13"/>
      <c r="O622" s="13"/>
      <c r="P622" s="13"/>
      <c r="Q622" s="13"/>
      <c r="R622" s="13" t="s">
        <v>280</v>
      </c>
      <c r="S622" s="13" t="s">
        <v>9</v>
      </c>
    </row>
    <row r="623" spans="2:19">
      <c r="B623" s="13"/>
      <c r="C623" s="14">
        <v>263833</v>
      </c>
      <c r="D623" s="13" t="s">
        <v>211</v>
      </c>
      <c r="E623" s="13" t="s">
        <v>282</v>
      </c>
      <c r="F623" s="13"/>
      <c r="G623" s="13" t="s">
        <v>81</v>
      </c>
      <c r="H623" s="13" t="s">
        <v>10</v>
      </c>
      <c r="I623" s="13">
        <v>0</v>
      </c>
      <c r="J623" s="13">
        <v>16</v>
      </c>
      <c r="K623" s="13">
        <v>0</v>
      </c>
      <c r="L623" s="13">
        <v>2</v>
      </c>
      <c r="M623" s="13"/>
      <c r="N623" s="13"/>
      <c r="O623" s="13"/>
      <c r="P623" s="13"/>
      <c r="Q623" s="13"/>
      <c r="R623" s="13" t="s">
        <v>8</v>
      </c>
      <c r="S623" s="13" t="s">
        <v>13</v>
      </c>
    </row>
    <row r="625" spans="2:19">
      <c r="B625" s="108" t="s">
        <v>288</v>
      </c>
    </row>
    <row r="626" spans="2:19">
      <c r="B626" s="13" t="s">
        <v>26</v>
      </c>
      <c r="C626" s="13" t="s">
        <v>27</v>
      </c>
      <c r="D626" s="13" t="s">
        <v>28</v>
      </c>
      <c r="E626" s="13" t="s">
        <v>29</v>
      </c>
      <c r="F626" s="13" t="s">
        <v>31</v>
      </c>
      <c r="G626" s="13" t="s">
        <v>30</v>
      </c>
      <c r="H626" s="13" t="s">
        <v>179</v>
      </c>
      <c r="I626" s="13" t="s">
        <v>180</v>
      </c>
      <c r="J626" s="13" t="s">
        <v>181</v>
      </c>
      <c r="K626" s="13" t="s">
        <v>182</v>
      </c>
      <c r="L626" s="13" t="s">
        <v>183</v>
      </c>
      <c r="M626" s="13" t="s">
        <v>184</v>
      </c>
      <c r="N626" s="13" t="s">
        <v>185</v>
      </c>
      <c r="O626" s="13" t="s">
        <v>186</v>
      </c>
      <c r="P626" s="13" t="s">
        <v>187</v>
      </c>
      <c r="Q626" s="13" t="s">
        <v>188</v>
      </c>
      <c r="R626" s="13" t="s">
        <v>189</v>
      </c>
      <c r="S626" s="13" t="s">
        <v>190</v>
      </c>
    </row>
    <row r="627" spans="2:19">
      <c r="B627" s="13"/>
      <c r="C627" s="14">
        <v>242628</v>
      </c>
      <c r="D627" s="13" t="s">
        <v>232</v>
      </c>
      <c r="E627" s="13" t="s">
        <v>234</v>
      </c>
      <c r="F627" s="13"/>
      <c r="G627" s="13" t="s">
        <v>233</v>
      </c>
      <c r="H627" s="13" t="s">
        <v>14</v>
      </c>
      <c r="I627" s="13">
        <v>0</v>
      </c>
      <c r="J627" s="13">
        <v>0.5</v>
      </c>
      <c r="K627" s="13">
        <v>0</v>
      </c>
      <c r="L627" s="13">
        <v>3</v>
      </c>
      <c r="M627" s="13" t="s">
        <v>236</v>
      </c>
      <c r="N627" s="13"/>
      <c r="O627" s="13"/>
      <c r="P627" s="13"/>
      <c r="Q627" s="13"/>
      <c r="R627" s="13"/>
      <c r="S627" s="13" t="s">
        <v>13</v>
      </c>
    </row>
    <row r="628" spans="2:19">
      <c r="B628" s="13"/>
      <c r="C628" s="14">
        <v>242628</v>
      </c>
      <c r="D628" s="13" t="s">
        <v>232</v>
      </c>
      <c r="E628" s="13" t="s">
        <v>237</v>
      </c>
      <c r="F628" s="13"/>
      <c r="G628" s="13" t="s">
        <v>233</v>
      </c>
      <c r="H628" s="13" t="s">
        <v>14</v>
      </c>
      <c r="I628" s="13">
        <v>0</v>
      </c>
      <c r="J628" s="13">
        <v>0</v>
      </c>
      <c r="K628" s="13">
        <v>0</v>
      </c>
      <c r="L628" s="13">
        <v>3</v>
      </c>
      <c r="M628" s="13" t="s">
        <v>236</v>
      </c>
      <c r="N628" s="13"/>
      <c r="O628" s="13"/>
      <c r="P628" s="13"/>
      <c r="Q628" s="13"/>
      <c r="R628" s="13"/>
      <c r="S628" s="13" t="s">
        <v>13</v>
      </c>
    </row>
    <row r="629" spans="2:19">
      <c r="B629" s="13"/>
      <c r="C629" s="14">
        <v>242628</v>
      </c>
      <c r="D629" s="13" t="s">
        <v>232</v>
      </c>
      <c r="E629" s="13" t="s">
        <v>238</v>
      </c>
      <c r="F629" s="13"/>
      <c r="G629" s="13" t="s">
        <v>233</v>
      </c>
      <c r="H629" s="13" t="s">
        <v>14</v>
      </c>
      <c r="I629" s="13">
        <v>0</v>
      </c>
      <c r="J629" s="13">
        <v>0</v>
      </c>
      <c r="K629" s="13">
        <v>0</v>
      </c>
      <c r="L629" s="13">
        <v>3</v>
      </c>
      <c r="M629" s="13" t="s">
        <v>236</v>
      </c>
      <c r="N629" s="13"/>
      <c r="O629" s="13"/>
      <c r="P629" s="13"/>
      <c r="Q629" s="13"/>
      <c r="R629" s="13"/>
      <c r="S629" s="13" t="s">
        <v>13</v>
      </c>
    </row>
    <row r="630" spans="2:19">
      <c r="B630" s="13"/>
      <c r="C630" s="14">
        <v>242628</v>
      </c>
      <c r="D630" s="13" t="s">
        <v>232</v>
      </c>
      <c r="E630" s="13" t="s">
        <v>239</v>
      </c>
      <c r="F630" s="13"/>
      <c r="G630" s="13" t="s">
        <v>233</v>
      </c>
      <c r="H630" s="13" t="s">
        <v>14</v>
      </c>
      <c r="I630" s="13">
        <v>0</v>
      </c>
      <c r="J630" s="13">
        <v>0</v>
      </c>
      <c r="K630" s="13">
        <v>0</v>
      </c>
      <c r="L630" s="13">
        <v>3</v>
      </c>
      <c r="M630" s="13" t="s">
        <v>240</v>
      </c>
      <c r="N630" s="13"/>
      <c r="O630" s="13"/>
      <c r="P630" s="13"/>
      <c r="Q630" s="13"/>
      <c r="R630" s="13"/>
      <c r="S630" s="13" t="s">
        <v>13</v>
      </c>
    </row>
    <row r="631" spans="2:19">
      <c r="B631" s="13"/>
      <c r="C631" s="14">
        <v>247747</v>
      </c>
      <c r="D631" s="13" t="s">
        <v>232</v>
      </c>
      <c r="E631" s="13" t="s">
        <v>342</v>
      </c>
      <c r="F631" s="13"/>
      <c r="G631" s="13" t="s">
        <v>77</v>
      </c>
      <c r="H631" s="13" t="s">
        <v>21</v>
      </c>
      <c r="I631" s="13">
        <v>0</v>
      </c>
      <c r="J631" s="13">
        <v>0</v>
      </c>
      <c r="K631" s="13">
        <v>0.5</v>
      </c>
      <c r="L631" s="13">
        <v>2</v>
      </c>
      <c r="M631" s="13" t="s">
        <v>236</v>
      </c>
      <c r="N631" s="13"/>
      <c r="O631" s="13"/>
      <c r="P631" s="13"/>
      <c r="Q631" s="13"/>
      <c r="R631" s="13"/>
      <c r="S631" s="13" t="s">
        <v>13</v>
      </c>
    </row>
    <row r="632" spans="2:19">
      <c r="B632" s="13"/>
      <c r="C632" s="14">
        <v>247748</v>
      </c>
      <c r="D632" s="13" t="s">
        <v>232</v>
      </c>
      <c r="E632" s="13" t="s">
        <v>343</v>
      </c>
      <c r="F632" s="13"/>
      <c r="G632" s="13" t="s">
        <v>235</v>
      </c>
      <c r="H632" s="13" t="s">
        <v>14</v>
      </c>
      <c r="I632" s="13">
        <v>0</v>
      </c>
      <c r="J632" s="13">
        <v>2</v>
      </c>
      <c r="K632" s="13">
        <v>0</v>
      </c>
      <c r="L632" s="13">
        <v>2</v>
      </c>
      <c r="M632" s="13" t="s">
        <v>236</v>
      </c>
      <c r="N632" s="13"/>
      <c r="O632" s="13"/>
      <c r="P632" s="13"/>
      <c r="Q632" s="13"/>
      <c r="R632" s="13"/>
      <c r="S632" s="13" t="s">
        <v>8</v>
      </c>
    </row>
    <row r="633" spans="2:19">
      <c r="B633" s="13"/>
      <c r="C633" s="14">
        <v>244764</v>
      </c>
      <c r="D633" s="13" t="s">
        <v>232</v>
      </c>
      <c r="E633" s="13" t="s">
        <v>350</v>
      </c>
      <c r="F633" s="13"/>
      <c r="G633" s="13" t="s">
        <v>257</v>
      </c>
      <c r="H633" s="13" t="s">
        <v>10</v>
      </c>
      <c r="I633" s="13">
        <v>0</v>
      </c>
      <c r="J633" s="13">
        <v>0</v>
      </c>
      <c r="K633" s="13">
        <v>0</v>
      </c>
      <c r="L633" s="13">
        <v>3</v>
      </c>
      <c r="M633" s="13" t="s">
        <v>236</v>
      </c>
      <c r="N633" s="13"/>
      <c r="O633" s="13"/>
      <c r="P633" s="13"/>
      <c r="Q633" s="13"/>
      <c r="R633" s="13"/>
      <c r="S633" s="13" t="s">
        <v>13</v>
      </c>
    </row>
    <row r="634" spans="2:19">
      <c r="B634" s="13"/>
      <c r="C634" s="14">
        <v>244770</v>
      </c>
      <c r="D634" s="13" t="s">
        <v>232</v>
      </c>
      <c r="E634" s="13" t="s">
        <v>246</v>
      </c>
      <c r="F634" s="13"/>
      <c r="G634" s="13" t="s">
        <v>233</v>
      </c>
      <c r="H634" s="13" t="s">
        <v>14</v>
      </c>
      <c r="I634" s="13">
        <v>0</v>
      </c>
      <c r="J634" s="13">
        <v>2</v>
      </c>
      <c r="K634" s="13">
        <v>0</v>
      </c>
      <c r="L634" s="13">
        <v>3</v>
      </c>
      <c r="M634" s="13" t="s">
        <v>236</v>
      </c>
      <c r="N634" s="13"/>
      <c r="O634" s="13"/>
      <c r="P634" s="13"/>
      <c r="Q634" s="13"/>
      <c r="R634" s="13"/>
      <c r="S634" s="13" t="s">
        <v>8</v>
      </c>
    </row>
    <row r="636" spans="2:19">
      <c r="B636" s="108" t="s">
        <v>300</v>
      </c>
    </row>
    <row r="637" spans="2:19">
      <c r="B637" s="13" t="s">
        <v>26</v>
      </c>
      <c r="C637" s="13" t="s">
        <v>27</v>
      </c>
      <c r="D637" s="13" t="s">
        <v>28</v>
      </c>
      <c r="E637" s="13" t="s">
        <v>29</v>
      </c>
      <c r="F637" s="13" t="s">
        <v>31</v>
      </c>
      <c r="G637" s="13" t="s">
        <v>30</v>
      </c>
      <c r="H637" s="13" t="s">
        <v>179</v>
      </c>
      <c r="I637" s="13" t="s">
        <v>180</v>
      </c>
      <c r="J637" s="13" t="s">
        <v>181</v>
      </c>
      <c r="K637" s="13" t="s">
        <v>182</v>
      </c>
      <c r="L637" s="13" t="s">
        <v>183</v>
      </c>
      <c r="M637" s="13" t="s">
        <v>184</v>
      </c>
      <c r="N637" s="13" t="s">
        <v>185</v>
      </c>
      <c r="O637" s="13" t="s">
        <v>186</v>
      </c>
      <c r="P637" s="13" t="s">
        <v>187</v>
      </c>
      <c r="Q637" s="13" t="s">
        <v>188</v>
      </c>
      <c r="R637" s="13" t="s">
        <v>189</v>
      </c>
      <c r="S637" s="13" t="s">
        <v>190</v>
      </c>
    </row>
    <row r="638" spans="2:19">
      <c r="B638" s="13"/>
      <c r="C638" s="14">
        <v>260177</v>
      </c>
      <c r="D638" s="13" t="s">
        <v>211</v>
      </c>
      <c r="E638" s="13" t="s">
        <v>212</v>
      </c>
      <c r="F638" s="13"/>
      <c r="G638" s="13" t="s">
        <v>81</v>
      </c>
      <c r="H638" s="13" t="s">
        <v>12</v>
      </c>
      <c r="I638" s="13">
        <v>3</v>
      </c>
      <c r="J638" s="13">
        <v>6</v>
      </c>
      <c r="K638" s="13">
        <v>0</v>
      </c>
      <c r="L638" s="13">
        <v>2</v>
      </c>
      <c r="M638" s="13"/>
      <c r="N638" s="13"/>
      <c r="O638" s="13"/>
      <c r="P638" s="13"/>
      <c r="Q638" s="13"/>
      <c r="R638" s="13" t="s">
        <v>8</v>
      </c>
      <c r="S638" s="13" t="s">
        <v>13</v>
      </c>
    </row>
    <row r="639" spans="2:19">
      <c r="B639" s="13"/>
      <c r="C639" s="14">
        <v>260177</v>
      </c>
      <c r="D639" s="13" t="s">
        <v>211</v>
      </c>
      <c r="E639" s="13" t="s">
        <v>325</v>
      </c>
      <c r="F639" s="13"/>
      <c r="G639" s="13" t="s">
        <v>81</v>
      </c>
      <c r="H639" s="13" t="s">
        <v>12</v>
      </c>
      <c r="I639" s="13">
        <v>5</v>
      </c>
      <c r="J639" s="13">
        <v>4</v>
      </c>
      <c r="K639" s="13">
        <v>1</v>
      </c>
      <c r="L639" s="13">
        <v>2</v>
      </c>
      <c r="M639" s="13"/>
      <c r="N639" s="13"/>
      <c r="O639" s="13"/>
      <c r="P639" s="13"/>
      <c r="Q639" s="13"/>
      <c r="R639" s="13" t="s">
        <v>8</v>
      </c>
      <c r="S639" s="13" t="s">
        <v>13</v>
      </c>
    </row>
    <row r="640" spans="2:19">
      <c r="B640" s="13"/>
      <c r="C640" s="14">
        <v>251892</v>
      </c>
      <c r="D640" s="13" t="s">
        <v>211</v>
      </c>
      <c r="E640" s="13" t="s">
        <v>326</v>
      </c>
      <c r="F640" s="13"/>
      <c r="G640" s="13" t="s">
        <v>81</v>
      </c>
      <c r="H640" s="13" t="s">
        <v>16</v>
      </c>
      <c r="I640" s="13">
        <v>2</v>
      </c>
      <c r="J640" s="13">
        <v>2</v>
      </c>
      <c r="K640" s="13">
        <v>0</v>
      </c>
      <c r="L640" s="13">
        <v>2</v>
      </c>
      <c r="M640" s="13"/>
      <c r="N640" s="13"/>
      <c r="O640" s="13"/>
      <c r="P640" s="13"/>
      <c r="Q640" s="13" t="s">
        <v>82</v>
      </c>
      <c r="R640" s="13" t="s">
        <v>8</v>
      </c>
      <c r="S640" s="13" t="s">
        <v>13</v>
      </c>
    </row>
    <row r="641" spans="2:19">
      <c r="B641" s="13"/>
      <c r="C641" s="14">
        <v>251892</v>
      </c>
      <c r="D641" s="13" t="s">
        <v>211</v>
      </c>
      <c r="E641" s="13" t="s">
        <v>213</v>
      </c>
      <c r="F641" s="13"/>
      <c r="G641" s="13" t="s">
        <v>81</v>
      </c>
      <c r="H641" s="13" t="s">
        <v>23</v>
      </c>
      <c r="I641" s="13">
        <v>4</v>
      </c>
      <c r="J641" s="13">
        <v>13.67</v>
      </c>
      <c r="K641" s="13">
        <v>0</v>
      </c>
      <c r="L641" s="13">
        <v>2</v>
      </c>
      <c r="M641" s="13"/>
      <c r="N641" s="13"/>
      <c r="O641" s="13"/>
      <c r="P641" s="13"/>
      <c r="Q641" s="13"/>
      <c r="R641" s="13" t="s">
        <v>9</v>
      </c>
      <c r="S641" s="13" t="s">
        <v>9</v>
      </c>
    </row>
    <row r="642" spans="2:19">
      <c r="B642" s="13"/>
      <c r="C642" s="14">
        <v>233816</v>
      </c>
      <c r="D642" s="13" t="s">
        <v>211</v>
      </c>
      <c r="E642" s="13" t="s">
        <v>327</v>
      </c>
      <c r="F642" s="13"/>
      <c r="G642" s="13" t="s">
        <v>81</v>
      </c>
      <c r="H642" s="13" t="s">
        <v>23</v>
      </c>
      <c r="I642" s="13">
        <v>4</v>
      </c>
      <c r="J642" s="13">
        <v>2.5</v>
      </c>
      <c r="K642" s="13">
        <v>0</v>
      </c>
      <c r="L642" s="13">
        <v>2</v>
      </c>
      <c r="M642" s="13"/>
      <c r="N642" s="13"/>
      <c r="O642" s="13"/>
      <c r="P642" s="13"/>
      <c r="Q642" s="13"/>
      <c r="R642" s="13" t="s">
        <v>9</v>
      </c>
      <c r="S642" s="13" t="s">
        <v>9</v>
      </c>
    </row>
    <row r="643" spans="2:19">
      <c r="B643" s="13"/>
      <c r="C643" s="14">
        <v>233934</v>
      </c>
      <c r="D643" s="13" t="s">
        <v>211</v>
      </c>
      <c r="E643" s="13" t="s">
        <v>214</v>
      </c>
      <c r="F643" s="13"/>
      <c r="G643" s="13" t="s">
        <v>81</v>
      </c>
      <c r="H643" s="13" t="s">
        <v>16</v>
      </c>
      <c r="I643" s="13">
        <v>3</v>
      </c>
      <c r="J643" s="13">
        <v>3</v>
      </c>
      <c r="K643" s="13">
        <v>0</v>
      </c>
      <c r="L643" s="13">
        <v>2</v>
      </c>
      <c r="M643" s="13"/>
      <c r="N643" s="13"/>
      <c r="O643" s="13"/>
      <c r="P643" s="13"/>
      <c r="Q643" s="13"/>
      <c r="R643" s="13" t="s">
        <v>8</v>
      </c>
      <c r="S643" s="13" t="s">
        <v>13</v>
      </c>
    </row>
    <row r="644" spans="2:19">
      <c r="B644" s="13"/>
      <c r="C644" s="14">
        <v>255495</v>
      </c>
      <c r="D644" s="13" t="s">
        <v>211</v>
      </c>
      <c r="E644" s="13" t="s">
        <v>215</v>
      </c>
      <c r="F644" s="13"/>
      <c r="G644" s="13" t="s">
        <v>81</v>
      </c>
      <c r="H644" s="13" t="s">
        <v>16</v>
      </c>
      <c r="I644" s="13">
        <v>4</v>
      </c>
      <c r="J644" s="13">
        <v>4</v>
      </c>
      <c r="K644" s="13">
        <v>0</v>
      </c>
      <c r="L644" s="13">
        <v>2</v>
      </c>
      <c r="M644" s="13"/>
      <c r="N644" s="13"/>
      <c r="O644" s="13"/>
      <c r="P644" s="13"/>
      <c r="Q644" s="13"/>
      <c r="R644" s="13" t="s">
        <v>8</v>
      </c>
      <c r="S644" s="13" t="s">
        <v>13</v>
      </c>
    </row>
    <row r="645" spans="2:19">
      <c r="B645" s="13"/>
      <c r="C645" s="14">
        <v>255495</v>
      </c>
      <c r="D645" s="13" t="s">
        <v>211</v>
      </c>
      <c r="E645" s="13" t="s">
        <v>328</v>
      </c>
      <c r="F645" s="13"/>
      <c r="G645" s="13" t="s">
        <v>42</v>
      </c>
      <c r="H645" s="13" t="s">
        <v>217</v>
      </c>
      <c r="I645" s="13">
        <v>5</v>
      </c>
      <c r="J645" s="13">
        <v>4.4000000000000004</v>
      </c>
      <c r="K645" s="13">
        <v>0.6</v>
      </c>
      <c r="L645" s="13">
        <v>2</v>
      </c>
      <c r="M645" s="13"/>
      <c r="N645" s="13"/>
      <c r="O645" s="13"/>
      <c r="P645" s="13"/>
      <c r="Q645" s="13"/>
      <c r="R645" s="13" t="s">
        <v>9</v>
      </c>
      <c r="S645" s="13" t="s">
        <v>9</v>
      </c>
    </row>
    <row r="646" spans="2:19">
      <c r="B646" s="13"/>
      <c r="C646" s="14">
        <v>250832</v>
      </c>
      <c r="D646" s="13" t="s">
        <v>211</v>
      </c>
      <c r="E646" s="13" t="s">
        <v>216</v>
      </c>
      <c r="F646" s="13"/>
      <c r="G646" s="13" t="s">
        <v>35</v>
      </c>
      <c r="H646" s="13" t="s">
        <v>23</v>
      </c>
      <c r="I646" s="13">
        <v>5</v>
      </c>
      <c r="J646" s="13">
        <v>5</v>
      </c>
      <c r="K646" s="13">
        <v>0</v>
      </c>
      <c r="L646" s="13">
        <v>2</v>
      </c>
      <c r="M646" s="13"/>
      <c r="N646" s="13"/>
      <c r="O646" s="13"/>
      <c r="P646" s="13"/>
      <c r="Q646" s="13"/>
      <c r="R646" s="13" t="s">
        <v>9</v>
      </c>
      <c r="S646" s="13" t="s">
        <v>9</v>
      </c>
    </row>
    <row r="647" spans="2:19">
      <c r="B647" s="13"/>
      <c r="C647" s="14">
        <v>250832</v>
      </c>
      <c r="D647" s="13" t="s">
        <v>211</v>
      </c>
      <c r="E647" s="13" t="s">
        <v>218</v>
      </c>
      <c r="F647" s="13"/>
      <c r="G647" s="13" t="s">
        <v>81</v>
      </c>
      <c r="H647" s="13" t="s">
        <v>217</v>
      </c>
      <c r="I647" s="13">
        <v>3</v>
      </c>
      <c r="J647" s="13">
        <v>7.67</v>
      </c>
      <c r="K647" s="13">
        <v>0</v>
      </c>
      <c r="L647" s="13">
        <v>2</v>
      </c>
      <c r="M647" s="13"/>
      <c r="N647" s="13"/>
      <c r="O647" s="13"/>
      <c r="P647" s="13"/>
      <c r="Q647" s="13"/>
      <c r="R647" s="13" t="s">
        <v>9</v>
      </c>
      <c r="S647" s="13" t="s">
        <v>9</v>
      </c>
    </row>
    <row r="648" spans="2:19">
      <c r="B648" s="13"/>
      <c r="C648" s="14">
        <v>250832</v>
      </c>
      <c r="D648" s="13" t="s">
        <v>211</v>
      </c>
      <c r="E648" s="13" t="s">
        <v>219</v>
      </c>
      <c r="F648" s="13"/>
      <c r="G648" s="13" t="s">
        <v>81</v>
      </c>
      <c r="H648" s="13" t="s">
        <v>217</v>
      </c>
      <c r="I648" s="13">
        <v>5</v>
      </c>
      <c r="J648" s="13">
        <v>16.34</v>
      </c>
      <c r="K648" s="13">
        <v>0</v>
      </c>
      <c r="L648" s="13">
        <v>2</v>
      </c>
      <c r="M648" s="13"/>
      <c r="N648" s="13"/>
      <c r="O648" s="13"/>
      <c r="P648" s="13"/>
      <c r="Q648" s="13"/>
      <c r="R648" s="13" t="s">
        <v>9</v>
      </c>
      <c r="S648" s="13" t="s">
        <v>9</v>
      </c>
    </row>
    <row r="649" spans="2:19">
      <c r="B649" s="13"/>
      <c r="C649" s="14">
        <v>250832</v>
      </c>
      <c r="D649" s="13" t="s">
        <v>211</v>
      </c>
      <c r="E649" s="13" t="s">
        <v>221</v>
      </c>
      <c r="F649" s="13"/>
      <c r="G649" s="13" t="s">
        <v>81</v>
      </c>
      <c r="H649" s="13" t="s">
        <v>217</v>
      </c>
      <c r="I649" s="13">
        <v>3</v>
      </c>
      <c r="J649" s="13">
        <v>3.5</v>
      </c>
      <c r="K649" s="13">
        <v>0</v>
      </c>
      <c r="L649" s="13">
        <v>2</v>
      </c>
      <c r="M649" s="13"/>
      <c r="N649" s="13"/>
      <c r="O649" s="13"/>
      <c r="P649" s="13"/>
      <c r="Q649" s="13"/>
      <c r="R649" s="13" t="s">
        <v>9</v>
      </c>
      <c r="S649" s="13" t="s">
        <v>9</v>
      </c>
    </row>
    <row r="650" spans="2:19">
      <c r="B650" s="13"/>
      <c r="C650" s="14">
        <v>250832</v>
      </c>
      <c r="D650" s="13" t="s">
        <v>211</v>
      </c>
      <c r="E650" s="13" t="s">
        <v>222</v>
      </c>
      <c r="F650" s="13"/>
      <c r="G650" s="13" t="s">
        <v>81</v>
      </c>
      <c r="H650" s="13" t="s">
        <v>217</v>
      </c>
      <c r="I650" s="13">
        <v>2</v>
      </c>
      <c r="J650" s="13">
        <v>14.5</v>
      </c>
      <c r="K650" s="13">
        <v>0</v>
      </c>
      <c r="L650" s="13">
        <v>2</v>
      </c>
      <c r="M650" s="13"/>
      <c r="N650" s="13"/>
      <c r="O650" s="13"/>
      <c r="P650" s="13"/>
      <c r="Q650" s="13"/>
      <c r="R650" s="13" t="s">
        <v>9</v>
      </c>
      <c r="S650" s="13" t="s">
        <v>9</v>
      </c>
    </row>
    <row r="651" spans="2:19">
      <c r="B651" s="13"/>
      <c r="C651" s="14">
        <v>250832</v>
      </c>
      <c r="D651" s="13" t="s">
        <v>211</v>
      </c>
      <c r="E651" s="13" t="s">
        <v>223</v>
      </c>
      <c r="F651" s="13"/>
      <c r="G651" s="13" t="s">
        <v>81</v>
      </c>
      <c r="H651" s="13" t="s">
        <v>217</v>
      </c>
      <c r="I651" s="13">
        <v>3</v>
      </c>
      <c r="J651" s="13">
        <v>3.92</v>
      </c>
      <c r="K651" s="13">
        <v>0</v>
      </c>
      <c r="L651" s="13">
        <v>2</v>
      </c>
      <c r="M651" s="13"/>
      <c r="N651" s="13"/>
      <c r="O651" s="13"/>
      <c r="P651" s="13"/>
      <c r="Q651" s="13"/>
      <c r="R651" s="13" t="s">
        <v>9</v>
      </c>
      <c r="S651" s="13" t="s">
        <v>9</v>
      </c>
    </row>
    <row r="652" spans="2:19">
      <c r="B652" s="13"/>
      <c r="C652" s="14">
        <v>250832</v>
      </c>
      <c r="D652" s="13" t="s">
        <v>211</v>
      </c>
      <c r="E652" s="13" t="s">
        <v>224</v>
      </c>
      <c r="F652" s="13"/>
      <c r="G652" s="13" t="s">
        <v>81</v>
      </c>
      <c r="H652" s="13" t="s">
        <v>217</v>
      </c>
      <c r="I652" s="13">
        <v>6</v>
      </c>
      <c r="J652" s="13">
        <v>7.07</v>
      </c>
      <c r="K652" s="13">
        <v>0</v>
      </c>
      <c r="L652" s="13">
        <v>2</v>
      </c>
      <c r="M652" s="13"/>
      <c r="N652" s="13"/>
      <c r="O652" s="13"/>
      <c r="P652" s="13"/>
      <c r="Q652" s="13"/>
      <c r="R652" s="13" t="s">
        <v>9</v>
      </c>
      <c r="S652" s="13" t="s">
        <v>9</v>
      </c>
    </row>
    <row r="653" spans="2:19">
      <c r="B653" s="13"/>
      <c r="C653" s="14">
        <v>250832</v>
      </c>
      <c r="D653" s="13" t="s">
        <v>211</v>
      </c>
      <c r="E653" s="13" t="s">
        <v>225</v>
      </c>
      <c r="F653" s="13"/>
      <c r="G653" s="13" t="s">
        <v>81</v>
      </c>
      <c r="H653" s="13" t="s">
        <v>217</v>
      </c>
      <c r="I653" s="13">
        <v>4</v>
      </c>
      <c r="J653" s="13">
        <v>6</v>
      </c>
      <c r="K653" s="13">
        <v>0</v>
      </c>
      <c r="L653" s="13">
        <v>2</v>
      </c>
      <c r="M653" s="13"/>
      <c r="N653" s="13"/>
      <c r="O653" s="13"/>
      <c r="P653" s="13"/>
      <c r="Q653" s="13"/>
      <c r="R653" s="13" t="s">
        <v>226</v>
      </c>
      <c r="S653" s="13" t="s">
        <v>9</v>
      </c>
    </row>
    <row r="654" spans="2:19">
      <c r="B654" s="13"/>
      <c r="C654" s="14">
        <v>250832</v>
      </c>
      <c r="D654" s="13" t="s">
        <v>211</v>
      </c>
      <c r="E654" s="13" t="s">
        <v>227</v>
      </c>
      <c r="F654" s="13"/>
      <c r="G654" s="13" t="s">
        <v>81</v>
      </c>
      <c r="H654" s="13" t="s">
        <v>217</v>
      </c>
      <c r="I654" s="13">
        <v>5</v>
      </c>
      <c r="J654" s="13">
        <v>10.5</v>
      </c>
      <c r="K654" s="13">
        <v>0</v>
      </c>
      <c r="L654" s="13">
        <v>2</v>
      </c>
      <c r="M654" s="13"/>
      <c r="N654" s="13"/>
      <c r="O654" s="13"/>
      <c r="P654" s="13"/>
      <c r="Q654" s="13"/>
      <c r="R654" s="13" t="s">
        <v>9</v>
      </c>
      <c r="S654" s="13" t="s">
        <v>9</v>
      </c>
    </row>
    <row r="655" spans="2:19">
      <c r="B655" s="13"/>
      <c r="C655" s="14">
        <v>250832</v>
      </c>
      <c r="D655" s="13" t="s">
        <v>211</v>
      </c>
      <c r="E655" s="13" t="s">
        <v>329</v>
      </c>
      <c r="F655" s="13"/>
      <c r="G655" s="13" t="s">
        <v>81</v>
      </c>
      <c r="H655" s="13" t="s">
        <v>217</v>
      </c>
      <c r="I655" s="13">
        <v>3</v>
      </c>
      <c r="J655" s="13">
        <v>4.5</v>
      </c>
      <c r="K655" s="13">
        <v>0</v>
      </c>
      <c r="L655" s="13">
        <v>2</v>
      </c>
      <c r="M655" s="13"/>
      <c r="N655" s="13"/>
      <c r="O655" s="13"/>
      <c r="P655" s="13"/>
      <c r="Q655" s="13"/>
      <c r="R655" s="13" t="s">
        <v>226</v>
      </c>
      <c r="S655" s="13" t="s">
        <v>9</v>
      </c>
    </row>
    <row r="656" spans="2:19">
      <c r="B656" s="13"/>
      <c r="C656" s="14">
        <v>250832</v>
      </c>
      <c r="D656" s="13" t="s">
        <v>211</v>
      </c>
      <c r="E656" s="13" t="s">
        <v>330</v>
      </c>
      <c r="F656" s="13"/>
      <c r="G656" s="13" t="s">
        <v>35</v>
      </c>
      <c r="H656" s="13" t="s">
        <v>217</v>
      </c>
      <c r="I656" s="13">
        <v>7</v>
      </c>
      <c r="J656" s="13">
        <v>17</v>
      </c>
      <c r="K656" s="13">
        <v>0</v>
      </c>
      <c r="L656" s="13">
        <v>2</v>
      </c>
      <c r="M656" s="13"/>
      <c r="N656" s="13"/>
      <c r="O656" s="13"/>
      <c r="P656" s="13"/>
      <c r="Q656" s="13"/>
      <c r="R656" s="13" t="s">
        <v>9</v>
      </c>
      <c r="S656" s="13" t="s">
        <v>9</v>
      </c>
    </row>
    <row r="657" spans="2:19">
      <c r="B657" s="13"/>
      <c r="C657" s="14">
        <v>250832</v>
      </c>
      <c r="D657" s="13" t="s">
        <v>211</v>
      </c>
      <c r="E657" s="13" t="s">
        <v>331</v>
      </c>
      <c r="F657" s="13"/>
      <c r="G657" s="13" t="s">
        <v>81</v>
      </c>
      <c r="H657" s="13" t="s">
        <v>217</v>
      </c>
      <c r="I657" s="13">
        <v>4</v>
      </c>
      <c r="J657" s="13">
        <v>2</v>
      </c>
      <c r="K657" s="13">
        <v>2</v>
      </c>
      <c r="L657" s="13">
        <v>2</v>
      </c>
      <c r="M657" s="13"/>
      <c r="N657" s="13"/>
      <c r="O657" s="13"/>
      <c r="P657" s="13"/>
      <c r="Q657" s="13"/>
      <c r="R657" s="13" t="s">
        <v>226</v>
      </c>
      <c r="S657" s="13" t="s">
        <v>9</v>
      </c>
    </row>
    <row r="658" spans="2:19">
      <c r="B658" s="13"/>
      <c r="C658" s="14">
        <v>250832</v>
      </c>
      <c r="D658" s="13" t="s">
        <v>211</v>
      </c>
      <c r="E658" s="13" t="s">
        <v>332</v>
      </c>
      <c r="F658" s="13"/>
      <c r="G658" s="13" t="s">
        <v>81</v>
      </c>
      <c r="H658" s="13" t="s">
        <v>217</v>
      </c>
      <c r="I658" s="13">
        <v>3</v>
      </c>
      <c r="J658" s="13">
        <v>1.5</v>
      </c>
      <c r="K658" s="13">
        <v>1.5</v>
      </c>
      <c r="L658" s="13">
        <v>2</v>
      </c>
      <c r="M658" s="13"/>
      <c r="N658" s="13"/>
      <c r="O658" s="13"/>
      <c r="P658" s="13"/>
      <c r="Q658" s="13"/>
      <c r="R658" s="13" t="s">
        <v>9</v>
      </c>
      <c r="S658" s="13" t="s">
        <v>9</v>
      </c>
    </row>
    <row r="659" spans="2:19">
      <c r="B659" s="13"/>
      <c r="C659" s="14">
        <v>250832</v>
      </c>
      <c r="D659" s="13" t="s">
        <v>211</v>
      </c>
      <c r="E659" s="13" t="s">
        <v>228</v>
      </c>
      <c r="F659" s="13"/>
      <c r="G659" s="13" t="s">
        <v>35</v>
      </c>
      <c r="H659" s="13" t="s">
        <v>217</v>
      </c>
      <c r="I659" s="13">
        <v>2</v>
      </c>
      <c r="J659" s="13">
        <v>1.85</v>
      </c>
      <c r="K659" s="13">
        <v>0.15</v>
      </c>
      <c r="L659" s="13">
        <v>2</v>
      </c>
      <c r="M659" s="13"/>
      <c r="N659" s="13"/>
      <c r="O659" s="13"/>
      <c r="P659" s="13"/>
      <c r="Q659" s="13"/>
      <c r="R659" s="13" t="s">
        <v>9</v>
      </c>
      <c r="S659" s="13" t="s">
        <v>9</v>
      </c>
    </row>
    <row r="660" spans="2:19">
      <c r="B660" s="13"/>
      <c r="C660" s="14">
        <v>250832</v>
      </c>
      <c r="D660" s="13" t="s">
        <v>211</v>
      </c>
      <c r="E660" s="13" t="s">
        <v>333</v>
      </c>
      <c r="F660" s="13"/>
      <c r="G660" s="13" t="s">
        <v>77</v>
      </c>
      <c r="H660" s="13" t="s">
        <v>217</v>
      </c>
      <c r="I660" s="13">
        <v>1</v>
      </c>
      <c r="J660" s="13">
        <v>0</v>
      </c>
      <c r="K660" s="13">
        <v>1</v>
      </c>
      <c r="L660" s="13">
        <v>2</v>
      </c>
      <c r="M660" s="13"/>
      <c r="N660" s="13"/>
      <c r="O660" s="13"/>
      <c r="P660" s="13"/>
      <c r="Q660" s="13"/>
      <c r="R660" s="13" t="s">
        <v>9</v>
      </c>
      <c r="S660" s="13" t="s">
        <v>9</v>
      </c>
    </row>
    <row r="661" spans="2:19">
      <c r="B661" s="13"/>
      <c r="C661" s="14">
        <v>250832</v>
      </c>
      <c r="D661" s="13" t="s">
        <v>211</v>
      </c>
      <c r="E661" s="13" t="s">
        <v>220</v>
      </c>
      <c r="F661" s="13"/>
      <c r="G661" s="13" t="s">
        <v>77</v>
      </c>
      <c r="H661" s="13" t="s">
        <v>217</v>
      </c>
      <c r="I661" s="13">
        <v>1</v>
      </c>
      <c r="J661" s="13">
        <v>0</v>
      </c>
      <c r="K661" s="13">
        <v>1</v>
      </c>
      <c r="L661" s="13">
        <v>2</v>
      </c>
      <c r="M661" s="13"/>
      <c r="N661" s="13"/>
      <c r="O661" s="13"/>
      <c r="P661" s="13"/>
      <c r="Q661" s="13"/>
      <c r="R661" s="13" t="s">
        <v>9</v>
      </c>
      <c r="S661" s="13" t="s">
        <v>9</v>
      </c>
    </row>
    <row r="662" spans="2:19">
      <c r="B662" s="13"/>
      <c r="C662" s="14">
        <v>250832</v>
      </c>
      <c r="D662" s="13" t="s">
        <v>211</v>
      </c>
      <c r="E662" s="13" t="s">
        <v>334</v>
      </c>
      <c r="F662" s="13"/>
      <c r="G662" s="13" t="s">
        <v>77</v>
      </c>
      <c r="H662" s="13" t="s">
        <v>217</v>
      </c>
      <c r="I662" s="13">
        <v>2</v>
      </c>
      <c r="J662" s="13">
        <v>0</v>
      </c>
      <c r="K662" s="13">
        <v>2</v>
      </c>
      <c r="L662" s="13">
        <v>2</v>
      </c>
      <c r="M662" s="13"/>
      <c r="N662" s="13"/>
      <c r="O662" s="13"/>
      <c r="P662" s="13"/>
      <c r="Q662" s="13"/>
      <c r="R662" s="13" t="s">
        <v>9</v>
      </c>
      <c r="S662" s="13" t="s">
        <v>9</v>
      </c>
    </row>
    <row r="663" spans="2:19">
      <c r="B663" s="13"/>
      <c r="C663" s="14">
        <v>250832</v>
      </c>
      <c r="D663" s="13" t="s">
        <v>211</v>
      </c>
      <c r="E663" s="13" t="s">
        <v>335</v>
      </c>
      <c r="F663" s="13"/>
      <c r="G663" s="13" t="s">
        <v>81</v>
      </c>
      <c r="H663" s="13" t="s">
        <v>217</v>
      </c>
      <c r="I663" s="13">
        <v>5</v>
      </c>
      <c r="J663" s="13">
        <v>4</v>
      </c>
      <c r="K663" s="13">
        <v>1</v>
      </c>
      <c r="L663" s="13">
        <v>2</v>
      </c>
      <c r="M663" s="13"/>
      <c r="N663" s="13"/>
      <c r="O663" s="13"/>
      <c r="P663" s="13"/>
      <c r="Q663" s="13"/>
      <c r="R663" s="13" t="s">
        <v>9</v>
      </c>
      <c r="S663" s="13" t="s">
        <v>9</v>
      </c>
    </row>
    <row r="664" spans="2:19">
      <c r="B664" s="13"/>
      <c r="C664" s="14">
        <v>250832</v>
      </c>
      <c r="D664" s="13" t="s">
        <v>211</v>
      </c>
      <c r="E664" s="13" t="s">
        <v>230</v>
      </c>
      <c r="F664" s="13"/>
      <c r="G664" s="13" t="s">
        <v>35</v>
      </c>
      <c r="H664" s="13" t="s">
        <v>23</v>
      </c>
      <c r="I664" s="13">
        <v>4</v>
      </c>
      <c r="J664" s="13">
        <v>4</v>
      </c>
      <c r="K664" s="13">
        <v>0</v>
      </c>
      <c r="L664" s="13">
        <v>2</v>
      </c>
      <c r="M664" s="13"/>
      <c r="N664" s="13"/>
      <c r="O664" s="13"/>
      <c r="P664" s="13"/>
      <c r="Q664" s="13"/>
      <c r="R664" s="13" t="s">
        <v>226</v>
      </c>
      <c r="S664" s="13" t="s">
        <v>9</v>
      </c>
    </row>
    <row r="665" spans="2:19">
      <c r="B665" s="13"/>
      <c r="C665" s="14">
        <v>250832</v>
      </c>
      <c r="D665" s="13" t="s">
        <v>211</v>
      </c>
      <c r="E665" s="13" t="s">
        <v>231</v>
      </c>
      <c r="F665" s="13"/>
      <c r="G665" s="13" t="s">
        <v>35</v>
      </c>
      <c r="H665" s="13" t="s">
        <v>23</v>
      </c>
      <c r="I665" s="13">
        <v>5</v>
      </c>
      <c r="J665" s="13">
        <v>4</v>
      </c>
      <c r="K665" s="13">
        <v>1</v>
      </c>
      <c r="L665" s="13">
        <v>2</v>
      </c>
      <c r="M665" s="13"/>
      <c r="N665" s="13"/>
      <c r="O665" s="13"/>
      <c r="P665" s="13"/>
      <c r="Q665" s="13"/>
      <c r="R665" s="13" t="s">
        <v>9</v>
      </c>
      <c r="S665" s="13" t="s">
        <v>9</v>
      </c>
    </row>
    <row r="666" spans="2:19">
      <c r="B666" s="13"/>
      <c r="C666" s="14">
        <v>250832</v>
      </c>
      <c r="D666" s="13" t="s">
        <v>211</v>
      </c>
      <c r="E666" s="13" t="s">
        <v>229</v>
      </c>
      <c r="F666" s="13"/>
      <c r="G666" s="13" t="s">
        <v>35</v>
      </c>
      <c r="H666" s="13" t="s">
        <v>23</v>
      </c>
      <c r="I666" s="13">
        <v>7</v>
      </c>
      <c r="J666" s="13">
        <v>10.58</v>
      </c>
      <c r="K666" s="13">
        <v>0</v>
      </c>
      <c r="L666" s="13">
        <v>2</v>
      </c>
      <c r="M666" s="13"/>
      <c r="N666" s="13"/>
      <c r="O666" s="13"/>
      <c r="P666" s="13"/>
      <c r="Q666" s="13"/>
      <c r="R666" s="13" t="s">
        <v>226</v>
      </c>
      <c r="S666" s="13" t="s">
        <v>9</v>
      </c>
    </row>
    <row r="667" spans="2:19">
      <c r="B667" s="13"/>
      <c r="C667" s="14">
        <v>250832</v>
      </c>
      <c r="D667" s="13" t="s">
        <v>211</v>
      </c>
      <c r="E667" s="13" t="s">
        <v>336</v>
      </c>
      <c r="F667" s="13"/>
      <c r="G667" s="13" t="s">
        <v>35</v>
      </c>
      <c r="H667" s="13" t="s">
        <v>23</v>
      </c>
      <c r="I667" s="13">
        <v>2</v>
      </c>
      <c r="J667" s="13">
        <v>2</v>
      </c>
      <c r="K667" s="13">
        <v>0</v>
      </c>
      <c r="L667" s="13">
        <v>2</v>
      </c>
      <c r="M667" s="13"/>
      <c r="N667" s="13"/>
      <c r="O667" s="13"/>
      <c r="P667" s="13"/>
      <c r="Q667" s="13"/>
      <c r="R667" s="13" t="s">
        <v>226</v>
      </c>
      <c r="S667" s="13" t="s">
        <v>9</v>
      </c>
    </row>
    <row r="668" spans="2:19">
      <c r="B668" s="13"/>
      <c r="C668" s="14">
        <v>250832</v>
      </c>
      <c r="D668" s="13" t="s">
        <v>211</v>
      </c>
      <c r="E668" s="13" t="s">
        <v>337</v>
      </c>
      <c r="F668" s="13"/>
      <c r="G668" s="13" t="s">
        <v>35</v>
      </c>
      <c r="H668" s="13" t="s">
        <v>23</v>
      </c>
      <c r="I668" s="13">
        <v>3</v>
      </c>
      <c r="J668" s="13">
        <v>5</v>
      </c>
      <c r="K668" s="13">
        <v>0</v>
      </c>
      <c r="L668" s="13">
        <v>2</v>
      </c>
      <c r="M668" s="13"/>
      <c r="N668" s="13"/>
      <c r="O668" s="13"/>
      <c r="P668" s="13"/>
      <c r="Q668" s="13"/>
      <c r="R668" s="13" t="s">
        <v>9</v>
      </c>
      <c r="S668" s="13" t="s">
        <v>9</v>
      </c>
    </row>
    <row r="669" spans="2:19">
      <c r="B669" s="13"/>
      <c r="C669" s="14">
        <v>250832</v>
      </c>
      <c r="D669" s="13" t="s">
        <v>211</v>
      </c>
      <c r="E669" s="13" t="s">
        <v>338</v>
      </c>
      <c r="F669" s="13"/>
      <c r="G669" s="13" t="s">
        <v>35</v>
      </c>
      <c r="H669" s="13" t="s">
        <v>23</v>
      </c>
      <c r="I669" s="13">
        <v>2</v>
      </c>
      <c r="J669" s="13">
        <v>3.27</v>
      </c>
      <c r="K669" s="13">
        <v>0</v>
      </c>
      <c r="L669" s="13">
        <v>2</v>
      </c>
      <c r="M669" s="13"/>
      <c r="N669" s="13"/>
      <c r="O669" s="13"/>
      <c r="P669" s="13"/>
      <c r="Q669" s="13"/>
      <c r="R669" s="13" t="s">
        <v>9</v>
      </c>
      <c r="S669" s="13" t="s">
        <v>9</v>
      </c>
    </row>
    <row r="670" spans="2:19">
      <c r="B670" s="13"/>
      <c r="C670" s="14">
        <v>250832</v>
      </c>
      <c r="D670" s="13" t="s">
        <v>211</v>
      </c>
      <c r="E670" s="13" t="s">
        <v>339</v>
      </c>
      <c r="F670" s="13"/>
      <c r="G670" s="13" t="s">
        <v>35</v>
      </c>
      <c r="H670" s="13" t="s">
        <v>23</v>
      </c>
      <c r="I670" s="13">
        <v>3</v>
      </c>
      <c r="J670" s="13">
        <v>4.25</v>
      </c>
      <c r="K670" s="13">
        <v>0</v>
      </c>
      <c r="L670" s="13">
        <v>2</v>
      </c>
      <c r="M670" s="13"/>
      <c r="N670" s="13"/>
      <c r="O670" s="13"/>
      <c r="P670" s="13"/>
      <c r="Q670" s="13"/>
      <c r="R670" s="13" t="s">
        <v>226</v>
      </c>
      <c r="S670" s="13" t="s">
        <v>9</v>
      </c>
    </row>
    <row r="671" spans="2:19">
      <c r="B671" s="13"/>
      <c r="C671" s="14">
        <v>242628</v>
      </c>
      <c r="D671" s="13" t="s">
        <v>211</v>
      </c>
      <c r="E671" s="13" t="s">
        <v>241</v>
      </c>
      <c r="F671" s="13"/>
      <c r="G671" s="13" t="s">
        <v>81</v>
      </c>
      <c r="H671" s="13" t="s">
        <v>12</v>
      </c>
      <c r="I671" s="13">
        <v>4</v>
      </c>
      <c r="J671" s="13">
        <v>4</v>
      </c>
      <c r="K671" s="13">
        <v>0</v>
      </c>
      <c r="L671" s="13">
        <v>2</v>
      </c>
      <c r="M671" s="13"/>
      <c r="N671" s="13"/>
      <c r="O671" s="13"/>
      <c r="P671" s="13"/>
      <c r="Q671" s="13" t="s">
        <v>340</v>
      </c>
      <c r="R671" s="13" t="s">
        <v>8</v>
      </c>
      <c r="S671" s="13" t="s">
        <v>13</v>
      </c>
    </row>
    <row r="672" spans="2:19">
      <c r="B672" s="13"/>
      <c r="C672" s="14">
        <v>242628</v>
      </c>
      <c r="D672" s="13" t="s">
        <v>211</v>
      </c>
      <c r="E672" s="13" t="s">
        <v>242</v>
      </c>
      <c r="F672" s="13"/>
      <c r="G672" s="13" t="s">
        <v>81</v>
      </c>
      <c r="H672" s="13" t="s">
        <v>10</v>
      </c>
      <c r="I672" s="13">
        <v>4</v>
      </c>
      <c r="J672" s="13">
        <v>4</v>
      </c>
      <c r="K672" s="13">
        <v>0</v>
      </c>
      <c r="L672" s="13">
        <v>2</v>
      </c>
      <c r="M672" s="13"/>
      <c r="N672" s="13"/>
      <c r="O672" s="13"/>
      <c r="P672" s="13"/>
      <c r="Q672" s="13" t="s">
        <v>83</v>
      </c>
      <c r="R672" s="13" t="s">
        <v>8</v>
      </c>
      <c r="S672" s="13" t="s">
        <v>13</v>
      </c>
    </row>
    <row r="673" spans="2:19">
      <c r="B673" s="13"/>
      <c r="C673" s="14">
        <v>247747</v>
      </c>
      <c r="D673" s="13" t="s">
        <v>211</v>
      </c>
      <c r="E673" s="13" t="s">
        <v>243</v>
      </c>
      <c r="F673" s="13"/>
      <c r="G673" s="13" t="s">
        <v>81</v>
      </c>
      <c r="H673" s="13" t="s">
        <v>23</v>
      </c>
      <c r="I673" s="13">
        <v>2</v>
      </c>
      <c r="J673" s="13">
        <v>1.5</v>
      </c>
      <c r="K673" s="13">
        <v>0</v>
      </c>
      <c r="L673" s="13">
        <v>2</v>
      </c>
      <c r="M673" s="13"/>
      <c r="N673" s="13"/>
      <c r="O673" s="13"/>
      <c r="P673" s="13"/>
      <c r="Q673" s="13" t="s">
        <v>83</v>
      </c>
      <c r="R673" s="13" t="s">
        <v>9</v>
      </c>
      <c r="S673" s="13" t="s">
        <v>9</v>
      </c>
    </row>
    <row r="674" spans="2:19">
      <c r="B674" s="13"/>
      <c r="C674" s="14">
        <v>247747</v>
      </c>
      <c r="D674" s="13" t="s">
        <v>232</v>
      </c>
      <c r="E674" s="13" t="s">
        <v>342</v>
      </c>
      <c r="F674" s="13"/>
      <c r="G674" s="13" t="s">
        <v>77</v>
      </c>
      <c r="H674" s="13" t="s">
        <v>21</v>
      </c>
      <c r="I674" s="13">
        <v>0</v>
      </c>
      <c r="J674" s="13">
        <v>0</v>
      </c>
      <c r="K674" s="13">
        <v>0.5</v>
      </c>
      <c r="L674" s="13">
        <v>2</v>
      </c>
      <c r="M674" s="13" t="s">
        <v>236</v>
      </c>
      <c r="N674" s="13"/>
      <c r="O674" s="13"/>
      <c r="P674" s="13"/>
      <c r="Q674" s="13"/>
      <c r="R674" s="13"/>
      <c r="S674" s="13" t="s">
        <v>13</v>
      </c>
    </row>
    <row r="675" spans="2:19">
      <c r="B675" s="13"/>
      <c r="C675" s="14">
        <v>244767</v>
      </c>
      <c r="D675" s="13" t="s">
        <v>211</v>
      </c>
      <c r="E675" s="13" t="s">
        <v>244</v>
      </c>
      <c r="F675" s="13"/>
      <c r="G675" s="13" t="s">
        <v>81</v>
      </c>
      <c r="H675" s="13" t="s">
        <v>10</v>
      </c>
      <c r="I675" s="13">
        <v>4</v>
      </c>
      <c r="J675" s="13">
        <v>4</v>
      </c>
      <c r="K675" s="13">
        <v>0</v>
      </c>
      <c r="L675" s="13">
        <v>2</v>
      </c>
      <c r="M675" s="13"/>
      <c r="N675" s="13"/>
      <c r="O675" s="13"/>
      <c r="P675" s="13"/>
      <c r="Q675" s="13"/>
      <c r="R675" s="13" t="s">
        <v>8</v>
      </c>
      <c r="S675" s="13" t="s">
        <v>13</v>
      </c>
    </row>
    <row r="676" spans="2:19">
      <c r="B676" s="13"/>
      <c r="C676" s="14">
        <v>244767</v>
      </c>
      <c r="D676" s="13" t="s">
        <v>211</v>
      </c>
      <c r="E676" s="13" t="s">
        <v>245</v>
      </c>
      <c r="F676" s="13"/>
      <c r="G676" s="13" t="s">
        <v>81</v>
      </c>
      <c r="H676" s="13" t="s">
        <v>10</v>
      </c>
      <c r="I676" s="13">
        <v>5</v>
      </c>
      <c r="J676" s="13">
        <v>5</v>
      </c>
      <c r="K676" s="13">
        <v>0</v>
      </c>
      <c r="L676" s="13">
        <v>2</v>
      </c>
      <c r="M676" s="13"/>
      <c r="N676" s="13"/>
      <c r="O676" s="13"/>
      <c r="P676" s="13"/>
      <c r="Q676" s="13"/>
      <c r="R676" s="13" t="s">
        <v>8</v>
      </c>
      <c r="S676" s="13" t="s">
        <v>13</v>
      </c>
    </row>
    <row r="677" spans="2:19">
      <c r="B677" s="13"/>
      <c r="C677" s="14">
        <v>244767</v>
      </c>
      <c r="D677" s="13" t="s">
        <v>211</v>
      </c>
      <c r="E677" s="13" t="s">
        <v>344</v>
      </c>
      <c r="F677" s="13"/>
      <c r="G677" s="13" t="s">
        <v>81</v>
      </c>
      <c r="H677" s="13" t="s">
        <v>10</v>
      </c>
      <c r="I677" s="13">
        <v>2</v>
      </c>
      <c r="J677" s="13">
        <v>3</v>
      </c>
      <c r="K677" s="13">
        <v>0</v>
      </c>
      <c r="L677" s="13">
        <v>2</v>
      </c>
      <c r="M677" s="13"/>
      <c r="N677" s="13"/>
      <c r="O677" s="13"/>
      <c r="P677" s="13"/>
      <c r="Q677" s="13"/>
      <c r="R677" s="13" t="s">
        <v>8</v>
      </c>
      <c r="S677" s="13" t="s">
        <v>13</v>
      </c>
    </row>
    <row r="678" spans="2:19">
      <c r="B678" s="13"/>
      <c r="C678" s="14">
        <v>244767</v>
      </c>
      <c r="D678" s="13" t="s">
        <v>211</v>
      </c>
      <c r="E678" s="13" t="s">
        <v>345</v>
      </c>
      <c r="F678" s="13"/>
      <c r="G678" s="13" t="s">
        <v>81</v>
      </c>
      <c r="H678" s="13" t="s">
        <v>10</v>
      </c>
      <c r="I678" s="13">
        <v>3</v>
      </c>
      <c r="J678" s="13">
        <v>3</v>
      </c>
      <c r="K678" s="13">
        <v>0</v>
      </c>
      <c r="L678" s="13">
        <v>2</v>
      </c>
      <c r="M678" s="13"/>
      <c r="N678" s="13"/>
      <c r="O678" s="13"/>
      <c r="P678" s="13"/>
      <c r="Q678" s="13"/>
      <c r="R678" s="13" t="s">
        <v>8</v>
      </c>
      <c r="S678" s="13" t="s">
        <v>13</v>
      </c>
    </row>
    <row r="679" spans="2:19">
      <c r="B679" s="13"/>
      <c r="C679" s="14">
        <v>244767</v>
      </c>
      <c r="D679" s="13" t="s">
        <v>211</v>
      </c>
      <c r="E679" s="13" t="s">
        <v>346</v>
      </c>
      <c r="F679" s="13"/>
      <c r="G679" s="13" t="s">
        <v>35</v>
      </c>
      <c r="H679" s="13" t="s">
        <v>10</v>
      </c>
      <c r="I679" s="13">
        <v>4</v>
      </c>
      <c r="J679" s="13">
        <v>3</v>
      </c>
      <c r="K679" s="13">
        <v>1</v>
      </c>
      <c r="L679" s="13">
        <v>2</v>
      </c>
      <c r="M679" s="13"/>
      <c r="N679" s="13"/>
      <c r="O679" s="13"/>
      <c r="P679" s="13"/>
      <c r="Q679" s="13"/>
      <c r="R679" s="13" t="s">
        <v>8</v>
      </c>
      <c r="S679" s="13" t="s">
        <v>13</v>
      </c>
    </row>
    <row r="680" spans="2:19">
      <c r="B680" s="13"/>
      <c r="C680" s="14">
        <v>244767</v>
      </c>
      <c r="D680" s="13" t="s">
        <v>211</v>
      </c>
      <c r="E680" s="13" t="s">
        <v>347</v>
      </c>
      <c r="F680" s="13"/>
      <c r="G680" s="13" t="s">
        <v>81</v>
      </c>
      <c r="H680" s="13" t="s">
        <v>10</v>
      </c>
      <c r="I680" s="13">
        <v>2</v>
      </c>
      <c r="J680" s="13">
        <v>5</v>
      </c>
      <c r="K680" s="13">
        <v>0</v>
      </c>
      <c r="L680" s="13">
        <v>2</v>
      </c>
      <c r="M680" s="13"/>
      <c r="N680" s="13"/>
      <c r="O680" s="13"/>
      <c r="P680" s="13"/>
      <c r="Q680" s="13"/>
      <c r="R680" s="13" t="s">
        <v>8</v>
      </c>
      <c r="S680" s="13" t="s">
        <v>13</v>
      </c>
    </row>
    <row r="681" spans="2:19">
      <c r="B681" s="13"/>
      <c r="C681" s="14">
        <v>244767</v>
      </c>
      <c r="D681" s="13" t="s">
        <v>211</v>
      </c>
      <c r="E681" s="13" t="s">
        <v>348</v>
      </c>
      <c r="F681" s="13"/>
      <c r="G681" s="13" t="s">
        <v>81</v>
      </c>
      <c r="H681" s="13" t="s">
        <v>10</v>
      </c>
      <c r="I681" s="13">
        <v>4</v>
      </c>
      <c r="J681" s="13">
        <v>4</v>
      </c>
      <c r="K681" s="13">
        <v>0</v>
      </c>
      <c r="L681" s="13">
        <v>2</v>
      </c>
      <c r="M681" s="13"/>
      <c r="N681" s="13"/>
      <c r="O681" s="13"/>
      <c r="P681" s="13"/>
      <c r="Q681" s="13" t="s">
        <v>83</v>
      </c>
      <c r="R681" s="13" t="s">
        <v>8</v>
      </c>
      <c r="S681" s="13" t="s">
        <v>13</v>
      </c>
    </row>
    <row r="682" spans="2:19">
      <c r="B682" s="13"/>
      <c r="C682" s="14">
        <v>244767</v>
      </c>
      <c r="D682" s="13" t="s">
        <v>211</v>
      </c>
      <c r="E682" s="13" t="s">
        <v>349</v>
      </c>
      <c r="F682" s="13"/>
      <c r="G682" s="13" t="s">
        <v>81</v>
      </c>
      <c r="H682" s="13" t="s">
        <v>10</v>
      </c>
      <c r="I682" s="13">
        <v>0</v>
      </c>
      <c r="J682" s="13">
        <v>20.5</v>
      </c>
      <c r="K682" s="13">
        <v>0</v>
      </c>
      <c r="L682" s="13">
        <v>2</v>
      </c>
      <c r="M682" s="13"/>
      <c r="N682" s="13"/>
      <c r="O682" s="13"/>
      <c r="P682" s="13"/>
      <c r="Q682" s="13"/>
      <c r="R682" s="13" t="s">
        <v>8</v>
      </c>
      <c r="S682" s="13" t="s">
        <v>13</v>
      </c>
    </row>
    <row r="683" spans="2:19">
      <c r="B683" s="13"/>
      <c r="C683" s="14">
        <v>244764</v>
      </c>
      <c r="D683" s="13" t="s">
        <v>232</v>
      </c>
      <c r="E683" s="13" t="s">
        <v>350</v>
      </c>
      <c r="F683" s="13"/>
      <c r="G683" s="13" t="s">
        <v>257</v>
      </c>
      <c r="H683" s="13" t="s">
        <v>10</v>
      </c>
      <c r="I683" s="13">
        <v>0</v>
      </c>
      <c r="J683" s="13">
        <v>0</v>
      </c>
      <c r="K683" s="13">
        <v>0</v>
      </c>
      <c r="L683" s="13">
        <v>3</v>
      </c>
      <c r="M683" s="13" t="s">
        <v>236</v>
      </c>
      <c r="N683" s="13"/>
      <c r="O683" s="13"/>
      <c r="P683" s="13"/>
      <c r="Q683" s="13"/>
      <c r="R683" s="13"/>
      <c r="S683" s="13" t="s">
        <v>13</v>
      </c>
    </row>
    <row r="684" spans="2:19">
      <c r="B684" s="13"/>
      <c r="C684" s="14">
        <v>244764</v>
      </c>
      <c r="D684" s="13" t="s">
        <v>211</v>
      </c>
      <c r="E684" s="13" t="s">
        <v>351</v>
      </c>
      <c r="F684" s="13"/>
      <c r="G684" s="13" t="s">
        <v>81</v>
      </c>
      <c r="H684" s="13" t="s">
        <v>10</v>
      </c>
      <c r="I684" s="13">
        <v>0.5</v>
      </c>
      <c r="J684" s="13">
        <v>0.5</v>
      </c>
      <c r="K684" s="13">
        <v>0</v>
      </c>
      <c r="L684" s="13">
        <v>2</v>
      </c>
      <c r="M684" s="13"/>
      <c r="N684" s="13"/>
      <c r="O684" s="13"/>
      <c r="P684" s="13"/>
      <c r="Q684" s="13"/>
      <c r="R684" s="13" t="s">
        <v>8</v>
      </c>
      <c r="S684" s="13" t="s">
        <v>13</v>
      </c>
    </row>
    <row r="685" spans="2:19">
      <c r="B685" s="13"/>
      <c r="C685" s="14">
        <v>244770</v>
      </c>
      <c r="D685" s="13" t="s">
        <v>211</v>
      </c>
      <c r="E685" s="13" t="s">
        <v>352</v>
      </c>
      <c r="F685" s="13"/>
      <c r="G685" s="13" t="s">
        <v>81</v>
      </c>
      <c r="H685" s="13" t="s">
        <v>20</v>
      </c>
      <c r="I685" s="13">
        <v>2</v>
      </c>
      <c r="J685" s="13">
        <v>2</v>
      </c>
      <c r="K685" s="13">
        <v>0</v>
      </c>
      <c r="L685" s="13">
        <v>2</v>
      </c>
      <c r="M685" s="13"/>
      <c r="N685" s="13"/>
      <c r="O685" s="13"/>
      <c r="P685" s="13"/>
      <c r="Q685" s="13" t="s">
        <v>93</v>
      </c>
      <c r="R685" s="13" t="s">
        <v>8</v>
      </c>
      <c r="S685" s="13" t="s">
        <v>8</v>
      </c>
    </row>
    <row r="686" spans="2:19">
      <c r="B686" s="13"/>
      <c r="C686" s="14">
        <v>242629</v>
      </c>
      <c r="D686" s="13" t="s">
        <v>211</v>
      </c>
      <c r="E686" s="13" t="s">
        <v>248</v>
      </c>
      <c r="F686" s="13"/>
      <c r="G686" s="13" t="s">
        <v>35</v>
      </c>
      <c r="H686" s="13" t="s">
        <v>23</v>
      </c>
      <c r="I686" s="13">
        <v>2</v>
      </c>
      <c r="J686" s="13">
        <v>2</v>
      </c>
      <c r="K686" s="13">
        <v>0</v>
      </c>
      <c r="L686" s="13">
        <v>2</v>
      </c>
      <c r="M686" s="13"/>
      <c r="N686" s="13"/>
      <c r="O686" s="13"/>
      <c r="P686" s="13"/>
      <c r="Q686" s="13"/>
      <c r="R686" s="13" t="s">
        <v>9</v>
      </c>
      <c r="S686" s="13" t="s">
        <v>9</v>
      </c>
    </row>
    <row r="687" spans="2:19">
      <c r="B687" s="13"/>
      <c r="C687" s="14">
        <v>242629</v>
      </c>
      <c r="D687" s="13" t="s">
        <v>211</v>
      </c>
      <c r="E687" s="13" t="s">
        <v>249</v>
      </c>
      <c r="F687" s="13"/>
      <c r="G687" s="13" t="s">
        <v>35</v>
      </c>
      <c r="H687" s="13" t="s">
        <v>23</v>
      </c>
      <c r="I687" s="13">
        <v>2</v>
      </c>
      <c r="J687" s="13">
        <v>2</v>
      </c>
      <c r="K687" s="13">
        <v>0</v>
      </c>
      <c r="L687" s="13">
        <v>2</v>
      </c>
      <c r="M687" s="13"/>
      <c r="N687" s="13"/>
      <c r="O687" s="13"/>
      <c r="P687" s="13"/>
      <c r="Q687" s="13"/>
      <c r="R687" s="13" t="s">
        <v>9</v>
      </c>
      <c r="S687" s="13" t="s">
        <v>9</v>
      </c>
    </row>
    <row r="688" spans="2:19">
      <c r="B688" s="13"/>
      <c r="C688" s="14">
        <v>242629</v>
      </c>
      <c r="D688" s="13" t="s">
        <v>211</v>
      </c>
      <c r="E688" s="13" t="s">
        <v>250</v>
      </c>
      <c r="F688" s="13"/>
      <c r="G688" s="13" t="s">
        <v>35</v>
      </c>
      <c r="H688" s="13" t="s">
        <v>23</v>
      </c>
      <c r="I688" s="13">
        <v>2</v>
      </c>
      <c r="J688" s="13">
        <v>0.25</v>
      </c>
      <c r="K688" s="13">
        <v>1.75</v>
      </c>
      <c r="L688" s="13">
        <v>2</v>
      </c>
      <c r="M688" s="13"/>
      <c r="N688" s="13"/>
      <c r="O688" s="13"/>
      <c r="P688" s="13"/>
      <c r="Q688" s="13"/>
      <c r="R688" s="13" t="s">
        <v>9</v>
      </c>
      <c r="S688" s="13" t="s">
        <v>9</v>
      </c>
    </row>
    <row r="689" spans="2:19">
      <c r="B689" s="13"/>
      <c r="C689" s="14">
        <v>242629</v>
      </c>
      <c r="D689" s="13" t="s">
        <v>211</v>
      </c>
      <c r="E689" s="13" t="s">
        <v>251</v>
      </c>
      <c r="F689" s="13"/>
      <c r="G689" s="13" t="s">
        <v>81</v>
      </c>
      <c r="H689" s="13" t="s">
        <v>23</v>
      </c>
      <c r="I689" s="13">
        <v>2</v>
      </c>
      <c r="J689" s="13">
        <v>1</v>
      </c>
      <c r="K689" s="13">
        <v>0</v>
      </c>
      <c r="L689" s="13">
        <v>2</v>
      </c>
      <c r="M689" s="13"/>
      <c r="N689" s="13"/>
      <c r="O689" s="13"/>
      <c r="P689" s="13"/>
      <c r="Q689" s="13"/>
      <c r="R689" s="13" t="s">
        <v>9</v>
      </c>
      <c r="S689" s="13" t="s">
        <v>9</v>
      </c>
    </row>
    <row r="690" spans="2:19">
      <c r="B690" s="13"/>
      <c r="C690" s="14">
        <v>244768</v>
      </c>
      <c r="D690" s="13" t="s">
        <v>211</v>
      </c>
      <c r="E690" s="13" t="s">
        <v>252</v>
      </c>
      <c r="F690" s="13"/>
      <c r="G690" s="13" t="s">
        <v>81</v>
      </c>
      <c r="H690" s="13" t="s">
        <v>23</v>
      </c>
      <c r="I690" s="13">
        <v>2</v>
      </c>
      <c r="J690" s="13">
        <v>1</v>
      </c>
      <c r="K690" s="13">
        <v>0</v>
      </c>
      <c r="L690" s="13">
        <v>2</v>
      </c>
      <c r="M690" s="13"/>
      <c r="N690" s="13"/>
      <c r="O690" s="13"/>
      <c r="P690" s="13"/>
      <c r="Q690" s="13"/>
      <c r="R690" s="13" t="s">
        <v>9</v>
      </c>
      <c r="S690" s="13" t="s">
        <v>9</v>
      </c>
    </row>
    <row r="691" spans="2:19">
      <c r="B691" s="13"/>
      <c r="C691" s="14">
        <v>244768</v>
      </c>
      <c r="D691" s="13" t="s">
        <v>211</v>
      </c>
      <c r="E691" s="13" t="s">
        <v>353</v>
      </c>
      <c r="F691" s="13"/>
      <c r="G691" s="13" t="s">
        <v>35</v>
      </c>
      <c r="H691" s="13" t="s">
        <v>10</v>
      </c>
      <c r="I691" s="13">
        <v>7</v>
      </c>
      <c r="J691" s="13">
        <v>6</v>
      </c>
      <c r="K691" s="13">
        <v>1</v>
      </c>
      <c r="L691" s="13">
        <v>2</v>
      </c>
      <c r="M691" s="13"/>
      <c r="N691" s="13"/>
      <c r="O691" s="13"/>
      <c r="P691" s="13"/>
      <c r="Q691" s="13"/>
      <c r="R691" s="13" t="s">
        <v>8</v>
      </c>
      <c r="S691" s="13" t="s">
        <v>13</v>
      </c>
    </row>
    <row r="692" spans="2:19">
      <c r="B692" s="13"/>
      <c r="C692" s="14">
        <v>244768</v>
      </c>
      <c r="D692" s="13" t="s">
        <v>211</v>
      </c>
      <c r="E692" s="13" t="s">
        <v>354</v>
      </c>
      <c r="F692" s="13"/>
      <c r="G692" s="13" t="s">
        <v>38</v>
      </c>
      <c r="H692" s="13" t="s">
        <v>10</v>
      </c>
      <c r="I692" s="13">
        <v>4</v>
      </c>
      <c r="J692" s="13">
        <v>5</v>
      </c>
      <c r="K692" s="13">
        <v>1</v>
      </c>
      <c r="L692" s="13">
        <v>2</v>
      </c>
      <c r="M692" s="13"/>
      <c r="N692" s="13"/>
      <c r="O692" s="13"/>
      <c r="P692" s="13"/>
      <c r="Q692" s="13"/>
      <c r="R692" s="13" t="s">
        <v>8</v>
      </c>
      <c r="S692" s="13" t="s">
        <v>13</v>
      </c>
    </row>
    <row r="693" spans="2:19">
      <c r="B693" s="13"/>
      <c r="C693" s="14">
        <v>244768</v>
      </c>
      <c r="D693" s="13" t="s">
        <v>211</v>
      </c>
      <c r="E693" s="13" t="s">
        <v>355</v>
      </c>
      <c r="F693" s="13"/>
      <c r="G693" s="13" t="s">
        <v>38</v>
      </c>
      <c r="H693" s="13" t="s">
        <v>10</v>
      </c>
      <c r="I693" s="13">
        <v>3</v>
      </c>
      <c r="J693" s="13">
        <v>0</v>
      </c>
      <c r="K693" s="13">
        <v>3</v>
      </c>
      <c r="L693" s="13">
        <v>2</v>
      </c>
      <c r="M693" s="13"/>
      <c r="N693" s="13"/>
      <c r="O693" s="13"/>
      <c r="P693" s="13"/>
      <c r="Q693" s="13"/>
      <c r="R693" s="13" t="s">
        <v>8</v>
      </c>
      <c r="S693" s="13" t="s">
        <v>13</v>
      </c>
    </row>
    <row r="694" spans="2:19">
      <c r="B694" s="13"/>
      <c r="C694" s="14">
        <v>244768</v>
      </c>
      <c r="D694" s="13" t="s">
        <v>211</v>
      </c>
      <c r="E694" s="13" t="s">
        <v>356</v>
      </c>
      <c r="F694" s="13"/>
      <c r="G694" s="13" t="s">
        <v>35</v>
      </c>
      <c r="H694" s="13" t="s">
        <v>10</v>
      </c>
      <c r="I694" s="13">
        <v>2</v>
      </c>
      <c r="J694" s="13">
        <v>1</v>
      </c>
      <c r="K694" s="13">
        <v>1</v>
      </c>
      <c r="L694" s="13">
        <v>2</v>
      </c>
      <c r="M694" s="13"/>
      <c r="N694" s="13"/>
      <c r="O694" s="13"/>
      <c r="P694" s="13"/>
      <c r="Q694" s="13"/>
      <c r="R694" s="13" t="s">
        <v>8</v>
      </c>
      <c r="S694" s="13" t="s">
        <v>13</v>
      </c>
    </row>
    <row r="695" spans="2:19">
      <c r="B695" s="13"/>
      <c r="C695" s="14">
        <v>244768</v>
      </c>
      <c r="D695" s="13" t="s">
        <v>211</v>
      </c>
      <c r="E695" s="13" t="s">
        <v>357</v>
      </c>
      <c r="F695" s="13"/>
      <c r="G695" s="13" t="s">
        <v>38</v>
      </c>
      <c r="H695" s="13" t="s">
        <v>10</v>
      </c>
      <c r="I695" s="13">
        <v>3</v>
      </c>
      <c r="J695" s="13">
        <v>2</v>
      </c>
      <c r="K695" s="13">
        <v>1</v>
      </c>
      <c r="L695" s="13">
        <v>2</v>
      </c>
      <c r="M695" s="13"/>
      <c r="N695" s="13"/>
      <c r="O695" s="13"/>
      <c r="P695" s="13"/>
      <c r="Q695" s="13"/>
      <c r="R695" s="13" t="s">
        <v>8</v>
      </c>
      <c r="S695" s="13" t="s">
        <v>13</v>
      </c>
    </row>
    <row r="696" spans="2:19">
      <c r="B696" s="13"/>
      <c r="C696" s="14">
        <v>244768</v>
      </c>
      <c r="D696" s="13" t="s">
        <v>211</v>
      </c>
      <c r="E696" s="13" t="s">
        <v>358</v>
      </c>
      <c r="F696" s="13"/>
      <c r="G696" s="13" t="s">
        <v>38</v>
      </c>
      <c r="H696" s="13" t="s">
        <v>10</v>
      </c>
      <c r="I696" s="13">
        <v>4</v>
      </c>
      <c r="J696" s="13">
        <v>3</v>
      </c>
      <c r="K696" s="13">
        <v>1</v>
      </c>
      <c r="L696" s="13">
        <v>2</v>
      </c>
      <c r="M696" s="13"/>
      <c r="N696" s="13"/>
      <c r="O696" s="13"/>
      <c r="P696" s="13"/>
      <c r="Q696" s="13"/>
      <c r="R696" s="13" t="s">
        <v>8</v>
      </c>
      <c r="S696" s="13" t="s">
        <v>13</v>
      </c>
    </row>
    <row r="697" spans="2:19">
      <c r="B697" s="13"/>
      <c r="C697" s="14">
        <v>244768</v>
      </c>
      <c r="D697" s="13" t="s">
        <v>211</v>
      </c>
      <c r="E697" s="13" t="s">
        <v>359</v>
      </c>
      <c r="F697" s="13"/>
      <c r="G697" s="13" t="s">
        <v>81</v>
      </c>
      <c r="H697" s="13" t="s">
        <v>10</v>
      </c>
      <c r="I697" s="13">
        <v>2</v>
      </c>
      <c r="J697" s="13">
        <v>2</v>
      </c>
      <c r="K697" s="13">
        <v>0</v>
      </c>
      <c r="L697" s="13">
        <v>2</v>
      </c>
      <c r="M697" s="13"/>
      <c r="N697" s="13"/>
      <c r="O697" s="13"/>
      <c r="P697" s="13"/>
      <c r="Q697" s="13"/>
      <c r="R697" s="13" t="s">
        <v>8</v>
      </c>
      <c r="S697" s="13" t="s">
        <v>13</v>
      </c>
    </row>
    <row r="698" spans="2:19">
      <c r="B698" s="13"/>
      <c r="C698" s="14">
        <v>244768</v>
      </c>
      <c r="D698" s="13" t="s">
        <v>211</v>
      </c>
      <c r="E698" s="13" t="s">
        <v>360</v>
      </c>
      <c r="F698" s="13"/>
      <c r="G698" s="13" t="s">
        <v>81</v>
      </c>
      <c r="H698" s="13" t="s">
        <v>10</v>
      </c>
      <c r="I698" s="13">
        <v>3</v>
      </c>
      <c r="J698" s="13">
        <v>3</v>
      </c>
      <c r="K698" s="13">
        <v>0</v>
      </c>
      <c r="L698" s="13">
        <v>2</v>
      </c>
      <c r="M698" s="13"/>
      <c r="N698" s="13"/>
      <c r="O698" s="13"/>
      <c r="P698" s="13"/>
      <c r="Q698" s="13" t="s">
        <v>83</v>
      </c>
      <c r="R698" s="13" t="s">
        <v>8</v>
      </c>
      <c r="S698" s="13" t="s">
        <v>13</v>
      </c>
    </row>
    <row r="699" spans="2:19">
      <c r="B699" s="13"/>
      <c r="C699" s="14">
        <v>244772</v>
      </c>
      <c r="D699" s="13" t="s">
        <v>211</v>
      </c>
      <c r="E699" s="13" t="s">
        <v>253</v>
      </c>
      <c r="F699" s="13"/>
      <c r="G699" s="13" t="s">
        <v>81</v>
      </c>
      <c r="H699" s="13" t="s">
        <v>21</v>
      </c>
      <c r="I699" s="13">
        <v>2</v>
      </c>
      <c r="J699" s="13">
        <v>2</v>
      </c>
      <c r="K699" s="13">
        <v>0</v>
      </c>
      <c r="L699" s="13">
        <v>2</v>
      </c>
      <c r="M699" s="13"/>
      <c r="N699" s="13"/>
      <c r="O699" s="13"/>
      <c r="P699" s="13"/>
      <c r="Q699" s="13"/>
      <c r="R699" s="13" t="s">
        <v>8</v>
      </c>
      <c r="S699" s="13" t="s">
        <v>13</v>
      </c>
    </row>
    <row r="700" spans="2:19">
      <c r="B700" s="13"/>
      <c r="C700" s="14">
        <v>244772</v>
      </c>
      <c r="D700" s="13" t="s">
        <v>211</v>
      </c>
      <c r="E700" s="13" t="s">
        <v>254</v>
      </c>
      <c r="F700" s="13"/>
      <c r="G700" s="13" t="s">
        <v>81</v>
      </c>
      <c r="H700" s="13" t="s">
        <v>21</v>
      </c>
      <c r="I700" s="13">
        <v>2</v>
      </c>
      <c r="J700" s="13">
        <v>2</v>
      </c>
      <c r="K700" s="13">
        <v>0</v>
      </c>
      <c r="L700" s="13">
        <v>2</v>
      </c>
      <c r="M700" s="13"/>
      <c r="N700" s="13"/>
      <c r="O700" s="13"/>
      <c r="P700" s="13"/>
      <c r="Q700" s="13"/>
      <c r="R700" s="13" t="s">
        <v>8</v>
      </c>
      <c r="S700" s="13" t="s">
        <v>13</v>
      </c>
    </row>
    <row r="701" spans="2:19">
      <c r="B701" s="13"/>
      <c r="C701" s="14">
        <v>244756</v>
      </c>
      <c r="D701" s="13" t="s">
        <v>211</v>
      </c>
      <c r="E701" s="13" t="s">
        <v>361</v>
      </c>
      <c r="F701" s="13"/>
      <c r="G701" s="13" t="s">
        <v>81</v>
      </c>
      <c r="H701" s="13" t="s">
        <v>21</v>
      </c>
      <c r="I701" s="13">
        <v>4</v>
      </c>
      <c r="J701" s="13">
        <v>4</v>
      </c>
      <c r="K701" s="13">
        <v>0</v>
      </c>
      <c r="L701" s="13">
        <v>2</v>
      </c>
      <c r="M701" s="13"/>
      <c r="N701" s="13"/>
      <c r="O701" s="13"/>
      <c r="P701" s="13"/>
      <c r="Q701" s="13"/>
      <c r="R701" s="13" t="s">
        <v>8</v>
      </c>
      <c r="S701" s="13" t="s">
        <v>13</v>
      </c>
    </row>
    <row r="702" spans="2:19">
      <c r="B702" s="13"/>
      <c r="C702" s="14">
        <v>244756</v>
      </c>
      <c r="D702" s="13" t="s">
        <v>211</v>
      </c>
      <c r="E702" s="13" t="s">
        <v>362</v>
      </c>
      <c r="F702" s="13"/>
      <c r="G702" s="13" t="s">
        <v>81</v>
      </c>
      <c r="H702" s="13" t="s">
        <v>21</v>
      </c>
      <c r="I702" s="13">
        <v>4</v>
      </c>
      <c r="J702" s="13">
        <v>4</v>
      </c>
      <c r="K702" s="13">
        <v>0</v>
      </c>
      <c r="L702" s="13">
        <v>2</v>
      </c>
      <c r="M702" s="13"/>
      <c r="N702" s="13"/>
      <c r="O702" s="13"/>
      <c r="P702" s="13"/>
      <c r="Q702" s="13"/>
      <c r="R702" s="13" t="s">
        <v>8</v>
      </c>
      <c r="S702" s="13" t="s">
        <v>13</v>
      </c>
    </row>
    <row r="703" spans="2:19">
      <c r="B703" s="13"/>
      <c r="C703" s="14">
        <v>244756</v>
      </c>
      <c r="D703" s="13" t="s">
        <v>211</v>
      </c>
      <c r="E703" s="13" t="s">
        <v>363</v>
      </c>
      <c r="F703" s="13"/>
      <c r="G703" s="13" t="s">
        <v>81</v>
      </c>
      <c r="H703" s="13" t="s">
        <v>21</v>
      </c>
      <c r="I703" s="13">
        <v>4</v>
      </c>
      <c r="J703" s="13">
        <v>4</v>
      </c>
      <c r="K703" s="13">
        <v>0</v>
      </c>
      <c r="L703" s="13">
        <v>2</v>
      </c>
      <c r="M703" s="13"/>
      <c r="N703" s="13"/>
      <c r="O703" s="13"/>
      <c r="P703" s="13"/>
      <c r="Q703" s="13"/>
      <c r="R703" s="13" t="s">
        <v>8</v>
      </c>
      <c r="S703" s="13" t="s">
        <v>13</v>
      </c>
    </row>
    <row r="704" spans="2:19">
      <c r="B704" s="13"/>
      <c r="C704" s="14">
        <v>244761</v>
      </c>
      <c r="D704" s="13" t="s">
        <v>211</v>
      </c>
      <c r="E704" s="13" t="s">
        <v>255</v>
      </c>
      <c r="F704" s="13"/>
      <c r="G704" s="13" t="s">
        <v>81</v>
      </c>
      <c r="H704" s="13" t="s">
        <v>21</v>
      </c>
      <c r="I704" s="13">
        <v>7</v>
      </c>
      <c r="J704" s="13">
        <v>7</v>
      </c>
      <c r="K704" s="13">
        <v>0</v>
      </c>
      <c r="L704" s="13">
        <v>2</v>
      </c>
      <c r="M704" s="13"/>
      <c r="N704" s="13"/>
      <c r="O704" s="13"/>
      <c r="P704" s="13"/>
      <c r="Q704" s="13" t="s">
        <v>41</v>
      </c>
      <c r="R704" s="13" t="s">
        <v>8</v>
      </c>
      <c r="S704" s="13" t="s">
        <v>13</v>
      </c>
    </row>
    <row r="705" spans="2:19">
      <c r="B705" s="13"/>
      <c r="C705" s="14">
        <v>244761</v>
      </c>
      <c r="D705" s="13" t="s">
        <v>211</v>
      </c>
      <c r="E705" s="13" t="s">
        <v>364</v>
      </c>
      <c r="F705" s="13"/>
      <c r="G705" s="13" t="s">
        <v>35</v>
      </c>
      <c r="H705" s="13" t="s">
        <v>21</v>
      </c>
      <c r="I705" s="13">
        <v>6</v>
      </c>
      <c r="J705" s="13">
        <v>0</v>
      </c>
      <c r="K705" s="13">
        <v>6</v>
      </c>
      <c r="L705" s="13">
        <v>2</v>
      </c>
      <c r="M705" s="13"/>
      <c r="N705" s="13"/>
      <c r="O705" s="13"/>
      <c r="P705" s="13"/>
      <c r="Q705" s="13" t="s">
        <v>41</v>
      </c>
      <c r="R705" s="13" t="s">
        <v>8</v>
      </c>
      <c r="S705" s="13" t="s">
        <v>13</v>
      </c>
    </row>
    <row r="706" spans="2:19">
      <c r="B706" s="13"/>
      <c r="C706" s="14">
        <v>244761</v>
      </c>
      <c r="D706" s="13" t="s">
        <v>211</v>
      </c>
      <c r="E706" s="13" t="s">
        <v>365</v>
      </c>
      <c r="F706" s="13"/>
      <c r="G706" s="13" t="s">
        <v>81</v>
      </c>
      <c r="H706" s="13" t="s">
        <v>21</v>
      </c>
      <c r="I706" s="13">
        <v>3</v>
      </c>
      <c r="J706" s="13">
        <v>3</v>
      </c>
      <c r="K706" s="13">
        <v>0</v>
      </c>
      <c r="L706" s="13">
        <v>2</v>
      </c>
      <c r="M706" s="13"/>
      <c r="N706" s="13"/>
      <c r="O706" s="13"/>
      <c r="P706" s="13"/>
      <c r="Q706" s="13"/>
      <c r="R706" s="13" t="s">
        <v>8</v>
      </c>
      <c r="S706" s="13" t="s">
        <v>13</v>
      </c>
    </row>
    <row r="707" spans="2:19">
      <c r="B707" s="13"/>
      <c r="C707" s="14">
        <v>244761</v>
      </c>
      <c r="D707" s="13" t="s">
        <v>211</v>
      </c>
      <c r="E707" s="13" t="s">
        <v>256</v>
      </c>
      <c r="F707" s="13"/>
      <c r="G707" s="13" t="s">
        <v>81</v>
      </c>
      <c r="H707" s="13" t="s">
        <v>20</v>
      </c>
      <c r="I707" s="13">
        <v>8</v>
      </c>
      <c r="J707" s="13">
        <v>8</v>
      </c>
      <c r="K707" s="13">
        <v>0</v>
      </c>
      <c r="L707" s="13">
        <v>2</v>
      </c>
      <c r="M707" s="13"/>
      <c r="N707" s="13"/>
      <c r="O707" s="13"/>
      <c r="P707" s="13"/>
      <c r="Q707" s="13" t="s">
        <v>41</v>
      </c>
      <c r="R707" s="13" t="s">
        <v>8</v>
      </c>
      <c r="S707" s="13" t="s">
        <v>8</v>
      </c>
    </row>
    <row r="708" spans="2:19">
      <c r="B708" s="13"/>
      <c r="C708" s="14">
        <v>244761</v>
      </c>
      <c r="D708" s="13" t="s">
        <v>211</v>
      </c>
      <c r="E708" s="13" t="s">
        <v>366</v>
      </c>
      <c r="F708" s="13"/>
      <c r="G708" s="13" t="s">
        <v>81</v>
      </c>
      <c r="H708" s="13" t="s">
        <v>20</v>
      </c>
      <c r="I708" s="13">
        <v>6</v>
      </c>
      <c r="J708" s="13">
        <v>6</v>
      </c>
      <c r="K708" s="13">
        <v>0</v>
      </c>
      <c r="L708" s="13">
        <v>2</v>
      </c>
      <c r="M708" s="13"/>
      <c r="N708" s="13"/>
      <c r="O708" s="13"/>
      <c r="P708" s="13"/>
      <c r="Q708" s="13"/>
      <c r="R708" s="13" t="s">
        <v>8</v>
      </c>
      <c r="S708" s="13" t="s">
        <v>8</v>
      </c>
    </row>
    <row r="709" spans="2:19">
      <c r="B709" s="13"/>
      <c r="C709" s="14">
        <v>244761</v>
      </c>
      <c r="D709" s="13" t="s">
        <v>211</v>
      </c>
      <c r="E709" s="13" t="s">
        <v>367</v>
      </c>
      <c r="F709" s="13"/>
      <c r="G709" s="13" t="s">
        <v>81</v>
      </c>
      <c r="H709" s="13" t="s">
        <v>20</v>
      </c>
      <c r="I709" s="13">
        <v>10</v>
      </c>
      <c r="J709" s="13">
        <v>10</v>
      </c>
      <c r="K709" s="13">
        <v>0</v>
      </c>
      <c r="L709" s="13">
        <v>2</v>
      </c>
      <c r="M709" s="13"/>
      <c r="N709" s="13"/>
      <c r="O709" s="13"/>
      <c r="P709" s="13"/>
      <c r="Q709" s="13" t="s">
        <v>83</v>
      </c>
      <c r="R709" s="13" t="s">
        <v>8</v>
      </c>
      <c r="S709" s="13" t="s">
        <v>8</v>
      </c>
    </row>
    <row r="710" spans="2:19">
      <c r="B710" s="13"/>
      <c r="C710" s="14">
        <v>244757</v>
      </c>
      <c r="D710" s="13" t="s">
        <v>211</v>
      </c>
      <c r="E710" s="13" t="s">
        <v>368</v>
      </c>
      <c r="F710" s="13"/>
      <c r="G710" s="13" t="s">
        <v>35</v>
      </c>
      <c r="H710" s="13" t="s">
        <v>21</v>
      </c>
      <c r="I710" s="13">
        <v>5</v>
      </c>
      <c r="J710" s="13">
        <v>5</v>
      </c>
      <c r="K710" s="13">
        <v>0</v>
      </c>
      <c r="L710" s="13">
        <v>2</v>
      </c>
      <c r="M710" s="13"/>
      <c r="N710" s="13"/>
      <c r="O710" s="13"/>
      <c r="P710" s="13"/>
      <c r="Q710" s="13"/>
      <c r="R710" s="13" t="s">
        <v>8</v>
      </c>
      <c r="S710" s="13" t="s">
        <v>13</v>
      </c>
    </row>
    <row r="711" spans="2:19">
      <c r="B711" s="13"/>
      <c r="C711" s="14">
        <v>244757</v>
      </c>
      <c r="D711" s="13" t="s">
        <v>211</v>
      </c>
      <c r="E711" s="13" t="s">
        <v>369</v>
      </c>
      <c r="F711" s="13"/>
      <c r="G711" s="13" t="s">
        <v>77</v>
      </c>
      <c r="H711" s="13" t="s">
        <v>21</v>
      </c>
      <c r="I711" s="13">
        <v>2</v>
      </c>
      <c r="J711" s="13">
        <v>0</v>
      </c>
      <c r="K711" s="13">
        <v>2</v>
      </c>
      <c r="L711" s="13">
        <v>2</v>
      </c>
      <c r="M711" s="13"/>
      <c r="N711" s="13"/>
      <c r="O711" s="13"/>
      <c r="P711" s="13"/>
      <c r="Q711" s="13"/>
      <c r="R711" s="13" t="s">
        <v>8</v>
      </c>
      <c r="S711" s="13" t="s">
        <v>13</v>
      </c>
    </row>
    <row r="712" spans="2:19">
      <c r="B712" s="13"/>
      <c r="C712" s="14">
        <v>244758</v>
      </c>
      <c r="D712" s="13" t="s">
        <v>211</v>
      </c>
      <c r="E712" s="13" t="s">
        <v>370</v>
      </c>
      <c r="F712" s="13"/>
      <c r="G712" s="13" t="s">
        <v>77</v>
      </c>
      <c r="H712" s="13" t="s">
        <v>21</v>
      </c>
      <c r="I712" s="13">
        <v>4</v>
      </c>
      <c r="J712" s="13">
        <v>0</v>
      </c>
      <c r="K712" s="13">
        <v>4</v>
      </c>
      <c r="L712" s="13">
        <v>2</v>
      </c>
      <c r="M712" s="13"/>
      <c r="N712" s="13"/>
      <c r="O712" s="13"/>
      <c r="P712" s="13"/>
      <c r="Q712" s="13"/>
      <c r="R712" s="13" t="s">
        <v>8</v>
      </c>
      <c r="S712" s="13" t="s">
        <v>13</v>
      </c>
    </row>
    <row r="713" spans="2:19">
      <c r="B713" s="13"/>
      <c r="C713" s="14">
        <v>244758</v>
      </c>
      <c r="D713" s="13" t="s">
        <v>211</v>
      </c>
      <c r="E713" s="13" t="s">
        <v>371</v>
      </c>
      <c r="F713" s="13"/>
      <c r="G713" s="13" t="s">
        <v>77</v>
      </c>
      <c r="H713" s="13" t="s">
        <v>21</v>
      </c>
      <c r="I713" s="13">
        <v>2</v>
      </c>
      <c r="J713" s="13">
        <v>0</v>
      </c>
      <c r="K713" s="13">
        <v>2</v>
      </c>
      <c r="L713" s="13">
        <v>2</v>
      </c>
      <c r="M713" s="13"/>
      <c r="N713" s="13"/>
      <c r="O713" s="13"/>
      <c r="P713" s="13"/>
      <c r="Q713" s="13"/>
      <c r="R713" s="13" t="s">
        <v>8</v>
      </c>
      <c r="S713" s="13" t="s">
        <v>13</v>
      </c>
    </row>
    <row r="714" spans="2:19">
      <c r="B714" s="13"/>
      <c r="C714" s="14">
        <v>244758</v>
      </c>
      <c r="D714" s="13" t="s">
        <v>211</v>
      </c>
      <c r="E714" s="13" t="s">
        <v>372</v>
      </c>
      <c r="F714" s="13"/>
      <c r="G714" s="13" t="s">
        <v>77</v>
      </c>
      <c r="H714" s="13" t="s">
        <v>21</v>
      </c>
      <c r="I714" s="13">
        <v>4</v>
      </c>
      <c r="J714" s="13">
        <v>0</v>
      </c>
      <c r="K714" s="13">
        <v>4</v>
      </c>
      <c r="L714" s="13">
        <v>2</v>
      </c>
      <c r="M714" s="13"/>
      <c r="N714" s="13"/>
      <c r="O714" s="13"/>
      <c r="P714" s="13"/>
      <c r="Q714" s="13"/>
      <c r="R714" s="13" t="s">
        <v>8</v>
      </c>
      <c r="S714" s="13" t="s">
        <v>13</v>
      </c>
    </row>
    <row r="715" spans="2:19">
      <c r="B715" s="13"/>
      <c r="C715" s="14">
        <v>263834</v>
      </c>
      <c r="D715" s="13" t="s">
        <v>211</v>
      </c>
      <c r="E715" s="13" t="s">
        <v>374</v>
      </c>
      <c r="F715" s="13"/>
      <c r="G715" s="13" t="s">
        <v>81</v>
      </c>
      <c r="H715" s="13" t="s">
        <v>16</v>
      </c>
      <c r="I715" s="13">
        <v>3</v>
      </c>
      <c r="J715" s="13">
        <v>6.5</v>
      </c>
      <c r="K715" s="13">
        <v>0</v>
      </c>
      <c r="L715" s="13">
        <v>2</v>
      </c>
      <c r="M715" s="13"/>
      <c r="N715" s="13"/>
      <c r="O715" s="13"/>
      <c r="P715" s="13"/>
      <c r="Q715" s="13"/>
      <c r="R715" s="13" t="s">
        <v>8</v>
      </c>
      <c r="S715" s="13" t="s">
        <v>13</v>
      </c>
    </row>
    <row r="716" spans="2:19">
      <c r="B716" s="13"/>
      <c r="C716" s="14">
        <v>263834</v>
      </c>
      <c r="D716" s="13" t="s">
        <v>211</v>
      </c>
      <c r="E716" s="13" t="s">
        <v>375</v>
      </c>
      <c r="F716" s="13"/>
      <c r="G716" s="13" t="s">
        <v>81</v>
      </c>
      <c r="H716" s="13" t="s">
        <v>16</v>
      </c>
      <c r="I716" s="13">
        <v>3</v>
      </c>
      <c r="J716" s="13">
        <v>3</v>
      </c>
      <c r="K716" s="13">
        <v>0</v>
      </c>
      <c r="L716" s="13">
        <v>2</v>
      </c>
      <c r="M716" s="13"/>
      <c r="N716" s="13"/>
      <c r="O716" s="13"/>
      <c r="P716" s="13"/>
      <c r="Q716" s="13"/>
      <c r="R716" s="13" t="s">
        <v>8</v>
      </c>
      <c r="S716" s="13" t="s">
        <v>13</v>
      </c>
    </row>
    <row r="717" spans="2:19">
      <c r="B717" s="13"/>
      <c r="C717" s="14">
        <v>263834</v>
      </c>
      <c r="D717" s="13" t="s">
        <v>211</v>
      </c>
      <c r="E717" s="13" t="s">
        <v>376</v>
      </c>
      <c r="F717" s="13"/>
      <c r="G717" s="13" t="s">
        <v>81</v>
      </c>
      <c r="H717" s="13" t="s">
        <v>16</v>
      </c>
      <c r="I717" s="13">
        <v>3</v>
      </c>
      <c r="J717" s="13">
        <v>7</v>
      </c>
      <c r="K717" s="13">
        <v>0</v>
      </c>
      <c r="L717" s="13">
        <v>2</v>
      </c>
      <c r="M717" s="13"/>
      <c r="N717" s="13"/>
      <c r="O717" s="13"/>
      <c r="P717" s="13"/>
      <c r="Q717" s="13"/>
      <c r="R717" s="13" t="s">
        <v>8</v>
      </c>
      <c r="S717" s="13" t="s">
        <v>13</v>
      </c>
    </row>
    <row r="718" spans="2:19">
      <c r="B718" s="13"/>
      <c r="C718" s="14">
        <v>263834</v>
      </c>
      <c r="D718" s="13" t="s">
        <v>211</v>
      </c>
      <c r="E718" s="13" t="s">
        <v>377</v>
      </c>
      <c r="F718" s="13"/>
      <c r="G718" s="13" t="s">
        <v>81</v>
      </c>
      <c r="H718" s="13" t="s">
        <v>18</v>
      </c>
      <c r="I718" s="13">
        <v>2</v>
      </c>
      <c r="J718" s="13">
        <v>2</v>
      </c>
      <c r="K718" s="13">
        <v>0</v>
      </c>
      <c r="L718" s="13">
        <v>2</v>
      </c>
      <c r="M718" s="13"/>
      <c r="N718" s="13"/>
      <c r="O718" s="13"/>
      <c r="P718" s="13"/>
      <c r="Q718" s="13"/>
      <c r="R718" s="13" t="s">
        <v>8</v>
      </c>
      <c r="S718" s="13" t="s">
        <v>8</v>
      </c>
    </row>
    <row r="719" spans="2:19">
      <c r="B719" s="13"/>
      <c r="C719" s="14">
        <v>264506</v>
      </c>
      <c r="D719" s="13" t="s">
        <v>211</v>
      </c>
      <c r="E719" s="13" t="s">
        <v>378</v>
      </c>
      <c r="F719" s="13"/>
      <c r="G719" s="13" t="s">
        <v>81</v>
      </c>
      <c r="H719" s="13" t="s">
        <v>18</v>
      </c>
      <c r="I719" s="13">
        <v>4</v>
      </c>
      <c r="J719" s="13">
        <v>4</v>
      </c>
      <c r="K719" s="13">
        <v>0</v>
      </c>
      <c r="L719" s="13">
        <v>2</v>
      </c>
      <c r="M719" s="13"/>
      <c r="N719" s="13"/>
      <c r="O719" s="13"/>
      <c r="P719" s="13"/>
      <c r="Q719" s="13"/>
      <c r="R719" s="13" t="s">
        <v>8</v>
      </c>
      <c r="S719" s="13" t="s">
        <v>8</v>
      </c>
    </row>
    <row r="720" spans="2:19">
      <c r="B720" s="13"/>
      <c r="C720" s="14">
        <v>264506</v>
      </c>
      <c r="D720" s="13" t="s">
        <v>211</v>
      </c>
      <c r="E720" s="13" t="s">
        <v>379</v>
      </c>
      <c r="F720" s="13"/>
      <c r="G720" s="13" t="s">
        <v>81</v>
      </c>
      <c r="H720" s="13" t="s">
        <v>18</v>
      </c>
      <c r="I720" s="13">
        <v>7</v>
      </c>
      <c r="J720" s="13">
        <v>7</v>
      </c>
      <c r="K720" s="13">
        <v>0</v>
      </c>
      <c r="L720" s="13">
        <v>2</v>
      </c>
      <c r="M720" s="13"/>
      <c r="N720" s="13"/>
      <c r="O720" s="13"/>
      <c r="P720" s="13"/>
      <c r="Q720" s="13"/>
      <c r="R720" s="13" t="s">
        <v>8</v>
      </c>
      <c r="S720" s="13" t="s">
        <v>8</v>
      </c>
    </row>
    <row r="721" spans="2:19">
      <c r="B721" s="13"/>
      <c r="C721" s="14">
        <v>247302</v>
      </c>
      <c r="D721" s="13" t="s">
        <v>211</v>
      </c>
      <c r="E721" s="13" t="s">
        <v>258</v>
      </c>
      <c r="F721" s="13"/>
      <c r="G721" s="13" t="s">
        <v>81</v>
      </c>
      <c r="H721" s="13" t="s">
        <v>23</v>
      </c>
      <c r="I721" s="13">
        <v>3</v>
      </c>
      <c r="J721" s="13">
        <v>4</v>
      </c>
      <c r="K721" s="13">
        <v>0</v>
      </c>
      <c r="L721" s="13">
        <v>2</v>
      </c>
      <c r="M721" s="13"/>
      <c r="N721" s="13"/>
      <c r="O721" s="13"/>
      <c r="P721" s="13"/>
      <c r="Q721" s="13"/>
      <c r="R721" s="13" t="s">
        <v>9</v>
      </c>
      <c r="S721" s="13" t="s">
        <v>9</v>
      </c>
    </row>
    <row r="722" spans="2:19">
      <c r="B722" s="13"/>
      <c r="C722" s="14">
        <v>253676</v>
      </c>
      <c r="D722" s="13" t="s">
        <v>211</v>
      </c>
      <c r="E722" s="13" t="s">
        <v>259</v>
      </c>
      <c r="F722" s="13"/>
      <c r="G722" s="13" t="s">
        <v>81</v>
      </c>
      <c r="H722" s="13" t="s">
        <v>18</v>
      </c>
      <c r="I722" s="13">
        <v>8</v>
      </c>
      <c r="J722" s="13">
        <v>8</v>
      </c>
      <c r="K722" s="13">
        <v>0</v>
      </c>
      <c r="L722" s="13">
        <v>2</v>
      </c>
      <c r="M722" s="13"/>
      <c r="N722" s="13"/>
      <c r="O722" s="13"/>
      <c r="P722" s="13"/>
      <c r="Q722" s="13"/>
      <c r="R722" s="13" t="s">
        <v>8</v>
      </c>
      <c r="S722" s="13" t="s">
        <v>8</v>
      </c>
    </row>
    <row r="723" spans="2:19">
      <c r="B723" s="13"/>
      <c r="C723" s="14">
        <v>253676</v>
      </c>
      <c r="D723" s="13" t="s">
        <v>211</v>
      </c>
      <c r="E723" s="13" t="s">
        <v>260</v>
      </c>
      <c r="F723" s="13"/>
      <c r="G723" s="13" t="s">
        <v>81</v>
      </c>
      <c r="H723" s="13" t="s">
        <v>18</v>
      </c>
      <c r="I723" s="13">
        <v>8</v>
      </c>
      <c r="J723" s="13">
        <v>8</v>
      </c>
      <c r="K723" s="13">
        <v>0</v>
      </c>
      <c r="L723" s="13">
        <v>2</v>
      </c>
      <c r="M723" s="13"/>
      <c r="N723" s="13"/>
      <c r="O723" s="13"/>
      <c r="P723" s="13"/>
      <c r="Q723" s="13"/>
      <c r="R723" s="13" t="s">
        <v>8</v>
      </c>
      <c r="S723" s="13" t="s">
        <v>8</v>
      </c>
    </row>
    <row r="724" spans="2:19">
      <c r="B724" s="13"/>
      <c r="C724" s="14">
        <v>253676</v>
      </c>
      <c r="D724" s="13" t="s">
        <v>211</v>
      </c>
      <c r="E724" s="13" t="s">
        <v>261</v>
      </c>
      <c r="F724" s="13"/>
      <c r="G724" s="13" t="s">
        <v>81</v>
      </c>
      <c r="H724" s="13" t="s">
        <v>18</v>
      </c>
      <c r="I724" s="13">
        <v>8</v>
      </c>
      <c r="J724" s="13">
        <v>8</v>
      </c>
      <c r="K724" s="13">
        <v>0</v>
      </c>
      <c r="L724" s="13">
        <v>2</v>
      </c>
      <c r="M724" s="13"/>
      <c r="N724" s="13"/>
      <c r="O724" s="13"/>
      <c r="P724" s="13"/>
      <c r="Q724" s="13"/>
      <c r="R724" s="13" t="s">
        <v>8</v>
      </c>
      <c r="S724" s="13" t="s">
        <v>8</v>
      </c>
    </row>
    <row r="725" spans="2:19">
      <c r="B725" s="13"/>
      <c r="C725" s="14">
        <v>253676</v>
      </c>
      <c r="D725" s="13" t="s">
        <v>211</v>
      </c>
      <c r="E725" s="13" t="s">
        <v>262</v>
      </c>
      <c r="F725" s="13"/>
      <c r="G725" s="13" t="s">
        <v>81</v>
      </c>
      <c r="H725" s="13" t="s">
        <v>18</v>
      </c>
      <c r="I725" s="13">
        <v>8</v>
      </c>
      <c r="J725" s="13">
        <v>6</v>
      </c>
      <c r="K725" s="13">
        <v>0</v>
      </c>
      <c r="L725" s="13">
        <v>2</v>
      </c>
      <c r="M725" s="13"/>
      <c r="N725" s="13"/>
      <c r="O725" s="13"/>
      <c r="P725" s="13"/>
      <c r="Q725" s="13" t="s">
        <v>83</v>
      </c>
      <c r="R725" s="13" t="s">
        <v>8</v>
      </c>
      <c r="S725" s="13" t="s">
        <v>8</v>
      </c>
    </row>
    <row r="726" spans="2:19">
      <c r="B726" s="13"/>
      <c r="C726" s="14">
        <v>247315</v>
      </c>
      <c r="D726" s="13" t="s">
        <v>211</v>
      </c>
      <c r="E726" s="13" t="s">
        <v>268</v>
      </c>
      <c r="F726" s="13"/>
      <c r="G726" s="13" t="s">
        <v>35</v>
      </c>
      <c r="H726" s="13" t="s">
        <v>23</v>
      </c>
      <c r="I726" s="13">
        <v>2</v>
      </c>
      <c r="J726" s="13">
        <v>1</v>
      </c>
      <c r="K726" s="13">
        <v>1</v>
      </c>
      <c r="L726" s="13">
        <v>2</v>
      </c>
      <c r="M726" s="13"/>
      <c r="N726" s="13"/>
      <c r="O726" s="13"/>
      <c r="P726" s="13"/>
      <c r="Q726" s="13"/>
      <c r="R726" s="13" t="s">
        <v>9</v>
      </c>
      <c r="S726" s="13" t="s">
        <v>9</v>
      </c>
    </row>
    <row r="727" spans="2:19">
      <c r="B727" s="13"/>
      <c r="C727" s="14">
        <v>247312</v>
      </c>
      <c r="D727" s="13" t="s">
        <v>211</v>
      </c>
      <c r="E727" s="13" t="s">
        <v>269</v>
      </c>
      <c r="F727" s="13"/>
      <c r="G727" s="13" t="s">
        <v>81</v>
      </c>
      <c r="H727" s="13" t="s">
        <v>23</v>
      </c>
      <c r="I727" s="13">
        <v>1</v>
      </c>
      <c r="J727" s="13">
        <v>0.52</v>
      </c>
      <c r="K727" s="13">
        <v>0</v>
      </c>
      <c r="L727" s="13">
        <v>2</v>
      </c>
      <c r="M727" s="13"/>
      <c r="N727" s="13"/>
      <c r="O727" s="13"/>
      <c r="P727" s="13"/>
      <c r="Q727" s="13"/>
      <c r="R727" s="13" t="s">
        <v>9</v>
      </c>
      <c r="S727" s="13" t="s">
        <v>9</v>
      </c>
    </row>
    <row r="728" spans="2:19">
      <c r="B728" s="13"/>
      <c r="C728" s="14">
        <v>247310</v>
      </c>
      <c r="D728" s="13" t="s">
        <v>211</v>
      </c>
      <c r="E728" s="13" t="s">
        <v>270</v>
      </c>
      <c r="F728" s="13"/>
      <c r="G728" s="13" t="s">
        <v>81</v>
      </c>
      <c r="H728" s="13" t="s">
        <v>23</v>
      </c>
      <c r="I728" s="13">
        <v>3</v>
      </c>
      <c r="J728" s="13">
        <v>4</v>
      </c>
      <c r="K728" s="13">
        <v>0</v>
      </c>
      <c r="L728" s="13">
        <v>2</v>
      </c>
      <c r="M728" s="13"/>
      <c r="N728" s="13"/>
      <c r="O728" s="13"/>
      <c r="P728" s="13"/>
      <c r="Q728" s="13"/>
      <c r="R728" s="13" t="s">
        <v>9</v>
      </c>
      <c r="S728" s="13" t="s">
        <v>9</v>
      </c>
    </row>
    <row r="729" spans="2:19">
      <c r="B729" s="13"/>
      <c r="C729" s="14">
        <v>247310</v>
      </c>
      <c r="D729" s="13" t="s">
        <v>211</v>
      </c>
      <c r="E729" s="13" t="s">
        <v>271</v>
      </c>
      <c r="F729" s="13"/>
      <c r="G729" s="13" t="s">
        <v>81</v>
      </c>
      <c r="H729" s="13" t="s">
        <v>18</v>
      </c>
      <c r="I729" s="13">
        <v>4</v>
      </c>
      <c r="J729" s="13">
        <v>4</v>
      </c>
      <c r="K729" s="13">
        <v>0</v>
      </c>
      <c r="L729" s="13">
        <v>2</v>
      </c>
      <c r="M729" s="13"/>
      <c r="N729" s="13"/>
      <c r="O729" s="13"/>
      <c r="P729" s="13"/>
      <c r="Q729" s="13"/>
      <c r="R729" s="13" t="s">
        <v>8</v>
      </c>
      <c r="S729" s="13" t="s">
        <v>8</v>
      </c>
    </row>
    <row r="730" spans="2:19">
      <c r="B730" s="13"/>
      <c r="C730" s="14">
        <v>247310</v>
      </c>
      <c r="D730" s="13" t="s">
        <v>211</v>
      </c>
      <c r="E730" s="13" t="s">
        <v>272</v>
      </c>
      <c r="F730" s="13"/>
      <c r="G730" s="13" t="s">
        <v>81</v>
      </c>
      <c r="H730" s="13" t="s">
        <v>23</v>
      </c>
      <c r="I730" s="13">
        <v>1.5</v>
      </c>
      <c r="J730" s="13">
        <v>1.5</v>
      </c>
      <c r="K730" s="13">
        <v>0</v>
      </c>
      <c r="L730" s="13">
        <v>2</v>
      </c>
      <c r="M730" s="13"/>
      <c r="N730" s="13"/>
      <c r="O730" s="13"/>
      <c r="P730" s="13"/>
      <c r="Q730" s="13" t="s">
        <v>83</v>
      </c>
      <c r="R730" s="13" t="s">
        <v>9</v>
      </c>
      <c r="S730" s="13" t="s">
        <v>9</v>
      </c>
    </row>
    <row r="731" spans="2:19">
      <c r="B731" s="13"/>
      <c r="C731" s="14">
        <v>252836</v>
      </c>
      <c r="D731" s="13" t="s">
        <v>211</v>
      </c>
      <c r="E731" s="13" t="s">
        <v>273</v>
      </c>
      <c r="F731" s="13"/>
      <c r="G731" s="13" t="s">
        <v>81</v>
      </c>
      <c r="H731" s="13" t="s">
        <v>23</v>
      </c>
      <c r="I731" s="13">
        <v>3</v>
      </c>
      <c r="J731" s="13">
        <v>3</v>
      </c>
      <c r="K731" s="13">
        <v>0</v>
      </c>
      <c r="L731" s="13">
        <v>2</v>
      </c>
      <c r="M731" s="13"/>
      <c r="N731" s="13"/>
      <c r="O731" s="13"/>
      <c r="P731" s="13"/>
      <c r="Q731" s="13" t="s">
        <v>83</v>
      </c>
      <c r="R731" s="13" t="s">
        <v>9</v>
      </c>
      <c r="S731" s="13" t="s">
        <v>9</v>
      </c>
    </row>
    <row r="732" spans="2:19">
      <c r="B732" s="13"/>
      <c r="C732" s="14">
        <v>252836</v>
      </c>
      <c r="D732" s="13" t="s">
        <v>211</v>
      </c>
      <c r="E732" s="13" t="s">
        <v>274</v>
      </c>
      <c r="F732" s="13"/>
      <c r="G732" s="13" t="s">
        <v>81</v>
      </c>
      <c r="H732" s="13" t="s">
        <v>18</v>
      </c>
      <c r="I732" s="13">
        <v>4</v>
      </c>
      <c r="J732" s="13">
        <v>4</v>
      </c>
      <c r="K732" s="13">
        <v>0</v>
      </c>
      <c r="L732" s="13">
        <v>2</v>
      </c>
      <c r="M732" s="13"/>
      <c r="N732" s="13"/>
      <c r="O732" s="13"/>
      <c r="P732" s="13"/>
      <c r="Q732" s="13"/>
      <c r="R732" s="13" t="s">
        <v>8</v>
      </c>
      <c r="S732" s="13" t="s">
        <v>8</v>
      </c>
    </row>
    <row r="733" spans="2:19">
      <c r="B733" s="13"/>
      <c r="C733" s="14">
        <v>252836</v>
      </c>
      <c r="D733" s="13" t="s">
        <v>211</v>
      </c>
      <c r="E733" s="13" t="s">
        <v>275</v>
      </c>
      <c r="F733" s="13"/>
      <c r="G733" s="13" t="s">
        <v>81</v>
      </c>
      <c r="H733" s="13" t="s">
        <v>18</v>
      </c>
      <c r="I733" s="13">
        <v>4</v>
      </c>
      <c r="J733" s="13">
        <v>4</v>
      </c>
      <c r="K733" s="13">
        <v>0</v>
      </c>
      <c r="L733" s="13">
        <v>2</v>
      </c>
      <c r="M733" s="13"/>
      <c r="N733" s="13"/>
      <c r="O733" s="13"/>
      <c r="P733" s="13"/>
      <c r="Q733" s="13"/>
      <c r="R733" s="13" t="s">
        <v>8</v>
      </c>
      <c r="S733" s="13" t="s">
        <v>8</v>
      </c>
    </row>
    <row r="734" spans="2:19">
      <c r="B734" s="13"/>
      <c r="C734" s="14">
        <v>252836</v>
      </c>
      <c r="D734" s="13" t="s">
        <v>211</v>
      </c>
      <c r="E734" s="13" t="s">
        <v>382</v>
      </c>
      <c r="F734" s="13"/>
      <c r="G734" s="13" t="s">
        <v>81</v>
      </c>
      <c r="H734" s="13" t="s">
        <v>18</v>
      </c>
      <c r="I734" s="13">
        <v>4</v>
      </c>
      <c r="J734" s="13">
        <v>2</v>
      </c>
      <c r="K734" s="13">
        <v>0</v>
      </c>
      <c r="L734" s="13">
        <v>2</v>
      </c>
      <c r="M734" s="13"/>
      <c r="N734" s="13"/>
      <c r="O734" s="13"/>
      <c r="P734" s="13"/>
      <c r="Q734" s="13"/>
      <c r="R734" s="13" t="s">
        <v>8</v>
      </c>
      <c r="S734" s="13" t="s">
        <v>8</v>
      </c>
    </row>
    <row r="735" spans="2:19">
      <c r="B735" s="13"/>
      <c r="C735" s="14">
        <v>264492</v>
      </c>
      <c r="D735" s="13" t="s">
        <v>211</v>
      </c>
      <c r="E735" s="13" t="s">
        <v>383</v>
      </c>
      <c r="F735" s="13"/>
      <c r="G735" s="13" t="s">
        <v>81</v>
      </c>
      <c r="H735" s="13" t="s">
        <v>16</v>
      </c>
      <c r="I735" s="13">
        <v>4</v>
      </c>
      <c r="J735" s="13">
        <v>4</v>
      </c>
      <c r="K735" s="13">
        <v>0</v>
      </c>
      <c r="L735" s="13">
        <v>2</v>
      </c>
      <c r="M735" s="13"/>
      <c r="N735" s="13"/>
      <c r="O735" s="13"/>
      <c r="P735" s="13"/>
      <c r="Q735" s="13"/>
      <c r="R735" s="13" t="s">
        <v>8</v>
      </c>
      <c r="S735" s="13" t="s">
        <v>13</v>
      </c>
    </row>
    <row r="736" spans="2:19">
      <c r="B736" s="13"/>
      <c r="C736" s="14">
        <v>264492</v>
      </c>
      <c r="D736" s="13" t="s">
        <v>211</v>
      </c>
      <c r="E736" s="13" t="s">
        <v>384</v>
      </c>
      <c r="F736" s="13"/>
      <c r="G736" s="13" t="s">
        <v>81</v>
      </c>
      <c r="H736" s="13" t="s">
        <v>16</v>
      </c>
      <c r="I736" s="13">
        <v>5</v>
      </c>
      <c r="J736" s="13">
        <v>5</v>
      </c>
      <c r="K736" s="13">
        <v>0</v>
      </c>
      <c r="L736" s="13">
        <v>2</v>
      </c>
      <c r="M736" s="13"/>
      <c r="N736" s="13"/>
      <c r="O736" s="13"/>
      <c r="P736" s="13"/>
      <c r="Q736" s="13"/>
      <c r="R736" s="13" t="s">
        <v>8</v>
      </c>
      <c r="S736" s="13" t="s">
        <v>13</v>
      </c>
    </row>
    <row r="737" spans="2:19">
      <c r="B737" s="13"/>
      <c r="C737" s="14">
        <v>264492</v>
      </c>
      <c r="D737" s="13" t="s">
        <v>211</v>
      </c>
      <c r="E737" s="13" t="s">
        <v>385</v>
      </c>
      <c r="F737" s="13"/>
      <c r="G737" s="13" t="s">
        <v>81</v>
      </c>
      <c r="H737" s="13" t="s">
        <v>16</v>
      </c>
      <c r="I737" s="13">
        <v>5</v>
      </c>
      <c r="J737" s="13">
        <v>5</v>
      </c>
      <c r="K737" s="13">
        <v>0</v>
      </c>
      <c r="L737" s="13">
        <v>2</v>
      </c>
      <c r="M737" s="13"/>
      <c r="N737" s="13"/>
      <c r="O737" s="13"/>
      <c r="P737" s="13"/>
      <c r="Q737" s="13"/>
      <c r="R737" s="13" t="s">
        <v>8</v>
      </c>
      <c r="S737" s="13" t="s">
        <v>13</v>
      </c>
    </row>
    <row r="738" spans="2:19">
      <c r="B738" s="13"/>
      <c r="C738" s="14">
        <v>264492</v>
      </c>
      <c r="D738" s="13" t="s">
        <v>211</v>
      </c>
      <c r="E738" s="13" t="s">
        <v>386</v>
      </c>
      <c r="F738" s="13"/>
      <c r="G738" s="13" t="s">
        <v>35</v>
      </c>
      <c r="H738" s="13" t="s">
        <v>16</v>
      </c>
      <c r="I738" s="13">
        <v>4</v>
      </c>
      <c r="J738" s="13">
        <v>4</v>
      </c>
      <c r="K738" s="13">
        <v>0</v>
      </c>
      <c r="L738" s="13">
        <v>2</v>
      </c>
      <c r="M738" s="13"/>
      <c r="N738" s="13"/>
      <c r="O738" s="13"/>
      <c r="P738" s="13"/>
      <c r="Q738" s="13"/>
      <c r="R738" s="13" t="s">
        <v>8</v>
      </c>
      <c r="S738" s="13" t="s">
        <v>13</v>
      </c>
    </row>
    <row r="739" spans="2:19">
      <c r="B739" s="13"/>
      <c r="C739" s="14">
        <v>264492</v>
      </c>
      <c r="D739" s="13" t="s">
        <v>211</v>
      </c>
      <c r="E739" s="13" t="s">
        <v>387</v>
      </c>
      <c r="F739" s="13"/>
      <c r="G739" s="13" t="s">
        <v>35</v>
      </c>
      <c r="H739" s="13" t="s">
        <v>16</v>
      </c>
      <c r="I739" s="13">
        <v>4</v>
      </c>
      <c r="J739" s="13">
        <v>3.5</v>
      </c>
      <c r="K739" s="13">
        <v>0.5</v>
      </c>
      <c r="L739" s="13">
        <v>2</v>
      </c>
      <c r="M739" s="13"/>
      <c r="N739" s="13"/>
      <c r="O739" s="13"/>
      <c r="P739" s="13"/>
      <c r="Q739" s="13"/>
      <c r="R739" s="13" t="s">
        <v>8</v>
      </c>
      <c r="S739" s="13" t="s">
        <v>13</v>
      </c>
    </row>
    <row r="740" spans="2:19">
      <c r="B740" s="13"/>
      <c r="C740" s="14">
        <v>264492</v>
      </c>
      <c r="D740" s="13" t="s">
        <v>211</v>
      </c>
      <c r="E740" s="13" t="s">
        <v>388</v>
      </c>
      <c r="F740" s="13"/>
      <c r="G740" s="13" t="s">
        <v>81</v>
      </c>
      <c r="H740" s="13" t="s">
        <v>23</v>
      </c>
      <c r="I740" s="13">
        <v>2</v>
      </c>
      <c r="J740" s="13">
        <v>1</v>
      </c>
      <c r="K740" s="13">
        <v>0</v>
      </c>
      <c r="L740" s="13">
        <v>2</v>
      </c>
      <c r="M740" s="13"/>
      <c r="N740" s="13"/>
      <c r="O740" s="13"/>
      <c r="P740" s="13"/>
      <c r="Q740" s="13" t="s">
        <v>82</v>
      </c>
      <c r="R740" s="13" t="s">
        <v>9</v>
      </c>
      <c r="S740" s="13" t="s">
        <v>9</v>
      </c>
    </row>
    <row r="741" spans="2:19">
      <c r="B741" s="13"/>
      <c r="C741" s="14">
        <v>264494</v>
      </c>
      <c r="D741" s="13" t="s">
        <v>211</v>
      </c>
      <c r="E741" s="13" t="s">
        <v>389</v>
      </c>
      <c r="F741" s="13"/>
      <c r="G741" s="13" t="s">
        <v>81</v>
      </c>
      <c r="H741" s="13" t="s">
        <v>16</v>
      </c>
      <c r="I741" s="13">
        <v>4</v>
      </c>
      <c r="J741" s="13">
        <v>4</v>
      </c>
      <c r="K741" s="13">
        <v>0</v>
      </c>
      <c r="L741" s="13">
        <v>2</v>
      </c>
      <c r="M741" s="13"/>
      <c r="N741" s="13"/>
      <c r="O741" s="13"/>
      <c r="P741" s="13"/>
      <c r="Q741" s="13"/>
      <c r="R741" s="13" t="s">
        <v>8</v>
      </c>
      <c r="S741" s="13" t="s">
        <v>13</v>
      </c>
    </row>
    <row r="742" spans="2:19">
      <c r="B742" s="13"/>
      <c r="C742" s="14">
        <v>264494</v>
      </c>
      <c r="D742" s="13" t="s">
        <v>211</v>
      </c>
      <c r="E742" s="13" t="s">
        <v>390</v>
      </c>
      <c r="F742" s="13"/>
      <c r="G742" s="13" t="s">
        <v>81</v>
      </c>
      <c r="H742" s="13" t="s">
        <v>16</v>
      </c>
      <c r="I742" s="13">
        <v>4</v>
      </c>
      <c r="J742" s="13">
        <v>4</v>
      </c>
      <c r="K742" s="13">
        <v>0</v>
      </c>
      <c r="L742" s="13">
        <v>2</v>
      </c>
      <c r="M742" s="13"/>
      <c r="N742" s="13"/>
      <c r="O742" s="13"/>
      <c r="P742" s="13"/>
      <c r="Q742" s="13"/>
      <c r="R742" s="13" t="s">
        <v>8</v>
      </c>
      <c r="S742" s="13" t="s">
        <v>13</v>
      </c>
    </row>
    <row r="743" spans="2:19">
      <c r="B743" s="13"/>
      <c r="C743" s="14">
        <v>252825</v>
      </c>
      <c r="D743" s="13" t="s">
        <v>211</v>
      </c>
      <c r="E743" s="13" t="s">
        <v>292</v>
      </c>
      <c r="F743" s="13"/>
      <c r="G743" s="13" t="s">
        <v>81</v>
      </c>
      <c r="H743" s="13" t="s">
        <v>22</v>
      </c>
      <c r="I743" s="13">
        <v>7</v>
      </c>
      <c r="J743" s="13">
        <v>10.65</v>
      </c>
      <c r="K743" s="13">
        <v>0</v>
      </c>
      <c r="L743" s="13">
        <v>2</v>
      </c>
      <c r="M743" s="13"/>
      <c r="N743" s="13"/>
      <c r="O743" s="13"/>
      <c r="P743" s="13"/>
      <c r="Q743" s="13"/>
      <c r="R743" s="13" t="s">
        <v>9</v>
      </c>
      <c r="S743" s="13" t="s">
        <v>9</v>
      </c>
    </row>
    <row r="744" spans="2:19">
      <c r="B744" s="13"/>
      <c r="C744" s="14">
        <v>252825</v>
      </c>
      <c r="D744" s="13" t="s">
        <v>211</v>
      </c>
      <c r="E744" s="13" t="s">
        <v>293</v>
      </c>
      <c r="F744" s="13"/>
      <c r="G744" s="13" t="s">
        <v>81</v>
      </c>
      <c r="H744" s="13" t="s">
        <v>22</v>
      </c>
      <c r="I744" s="13">
        <v>7</v>
      </c>
      <c r="J744" s="13">
        <v>10</v>
      </c>
      <c r="K744" s="13">
        <v>0</v>
      </c>
      <c r="L744" s="13">
        <v>2</v>
      </c>
      <c r="M744" s="13"/>
      <c r="N744" s="13"/>
      <c r="O744" s="13"/>
      <c r="P744" s="13"/>
      <c r="Q744" s="13"/>
      <c r="R744" s="13" t="s">
        <v>9</v>
      </c>
      <c r="S744" s="13" t="s">
        <v>9</v>
      </c>
    </row>
    <row r="745" spans="2:19">
      <c r="B745" s="13"/>
      <c r="C745" s="14">
        <v>252825</v>
      </c>
      <c r="D745" s="13" t="s">
        <v>211</v>
      </c>
      <c r="E745" s="13" t="s">
        <v>295</v>
      </c>
      <c r="F745" s="13"/>
      <c r="G745" s="13" t="s">
        <v>81</v>
      </c>
      <c r="H745" s="13" t="s">
        <v>22</v>
      </c>
      <c r="I745" s="13">
        <v>7</v>
      </c>
      <c r="J745" s="13">
        <v>8</v>
      </c>
      <c r="K745" s="13">
        <v>0</v>
      </c>
      <c r="L745" s="13">
        <v>2</v>
      </c>
      <c r="M745" s="13"/>
      <c r="N745" s="13"/>
      <c r="O745" s="13"/>
      <c r="P745" s="13"/>
      <c r="Q745" s="13"/>
      <c r="R745" s="13" t="s">
        <v>9</v>
      </c>
      <c r="S745" s="13" t="s">
        <v>9</v>
      </c>
    </row>
    <row r="746" spans="2:19">
      <c r="B746" s="13"/>
      <c r="C746" s="14">
        <v>252825</v>
      </c>
      <c r="D746" s="13" t="s">
        <v>211</v>
      </c>
      <c r="E746" s="13" t="s">
        <v>294</v>
      </c>
      <c r="F746" s="13"/>
      <c r="G746" s="13" t="s">
        <v>81</v>
      </c>
      <c r="H746" s="13" t="s">
        <v>22</v>
      </c>
      <c r="I746" s="13">
        <v>7</v>
      </c>
      <c r="J746" s="13">
        <v>7</v>
      </c>
      <c r="K746" s="13">
        <v>0</v>
      </c>
      <c r="L746" s="13">
        <v>2</v>
      </c>
      <c r="M746" s="13"/>
      <c r="N746" s="13"/>
      <c r="O746" s="13"/>
      <c r="P746" s="13"/>
      <c r="Q746" s="13"/>
      <c r="R746" s="13" t="s">
        <v>9</v>
      </c>
      <c r="S746" s="13" t="s">
        <v>9</v>
      </c>
    </row>
    <row r="747" spans="2:19">
      <c r="B747" s="13"/>
      <c r="C747" s="14">
        <v>252825</v>
      </c>
      <c r="D747" s="13" t="s">
        <v>211</v>
      </c>
      <c r="E747" s="13" t="s">
        <v>296</v>
      </c>
      <c r="F747" s="13"/>
      <c r="G747" s="13" t="s">
        <v>81</v>
      </c>
      <c r="H747" s="13" t="s">
        <v>22</v>
      </c>
      <c r="I747" s="13">
        <v>6</v>
      </c>
      <c r="J747" s="13">
        <v>10</v>
      </c>
      <c r="K747" s="13">
        <v>0</v>
      </c>
      <c r="L747" s="13">
        <v>2</v>
      </c>
      <c r="M747" s="13"/>
      <c r="N747" s="13"/>
      <c r="O747" s="13"/>
      <c r="P747" s="13"/>
      <c r="Q747" s="13"/>
      <c r="R747" s="13" t="s">
        <v>9</v>
      </c>
      <c r="S747" s="13" t="s">
        <v>9</v>
      </c>
    </row>
    <row r="748" spans="2:19">
      <c r="B748" s="13"/>
      <c r="C748" s="14">
        <v>252825</v>
      </c>
      <c r="D748" s="13" t="s">
        <v>211</v>
      </c>
      <c r="E748" s="13" t="s">
        <v>297</v>
      </c>
      <c r="F748" s="13"/>
      <c r="G748" s="13" t="s">
        <v>81</v>
      </c>
      <c r="H748" s="13" t="s">
        <v>22</v>
      </c>
      <c r="I748" s="13">
        <v>4</v>
      </c>
      <c r="J748" s="13">
        <v>7.25</v>
      </c>
      <c r="K748" s="13">
        <v>0</v>
      </c>
      <c r="L748" s="13">
        <v>2</v>
      </c>
      <c r="M748" s="13"/>
      <c r="N748" s="13"/>
      <c r="O748" s="13"/>
      <c r="P748" s="13"/>
      <c r="Q748" s="13"/>
      <c r="R748" s="13" t="s">
        <v>9</v>
      </c>
      <c r="S748" s="13" t="s">
        <v>9</v>
      </c>
    </row>
    <row r="749" spans="2:19">
      <c r="B749" s="13"/>
      <c r="C749" s="14">
        <v>252825</v>
      </c>
      <c r="D749" s="13" t="s">
        <v>211</v>
      </c>
      <c r="E749" s="13" t="s">
        <v>298</v>
      </c>
      <c r="F749" s="13"/>
      <c r="G749" s="13" t="s">
        <v>81</v>
      </c>
      <c r="H749" s="13" t="s">
        <v>22</v>
      </c>
      <c r="I749" s="13">
        <v>7</v>
      </c>
      <c r="J749" s="13">
        <v>7</v>
      </c>
      <c r="K749" s="13">
        <v>0</v>
      </c>
      <c r="L749" s="13">
        <v>2</v>
      </c>
      <c r="M749" s="13"/>
      <c r="N749" s="13"/>
      <c r="O749" s="13"/>
      <c r="P749" s="13"/>
      <c r="Q749" s="13"/>
      <c r="R749" s="13" t="s">
        <v>9</v>
      </c>
      <c r="S749" s="13" t="s">
        <v>9</v>
      </c>
    </row>
    <row r="750" spans="2:19">
      <c r="B750" s="13"/>
      <c r="C750" s="14">
        <v>252825</v>
      </c>
      <c r="D750" s="13" t="s">
        <v>211</v>
      </c>
      <c r="E750" s="13" t="s">
        <v>391</v>
      </c>
      <c r="F750" s="13"/>
      <c r="G750" s="13" t="s">
        <v>81</v>
      </c>
      <c r="H750" s="13" t="s">
        <v>22</v>
      </c>
      <c r="I750" s="13">
        <v>6</v>
      </c>
      <c r="J750" s="13">
        <v>7</v>
      </c>
      <c r="K750" s="13">
        <v>0</v>
      </c>
      <c r="L750" s="13">
        <v>2</v>
      </c>
      <c r="M750" s="13"/>
      <c r="N750" s="13"/>
      <c r="O750" s="13"/>
      <c r="P750" s="13"/>
      <c r="Q750" s="13"/>
      <c r="R750" s="13" t="s">
        <v>9</v>
      </c>
      <c r="S750" s="13" t="s">
        <v>9</v>
      </c>
    </row>
    <row r="751" spans="2:19">
      <c r="B751" s="13"/>
      <c r="C751" s="14">
        <v>252825</v>
      </c>
      <c r="D751" s="13" t="s">
        <v>211</v>
      </c>
      <c r="E751" s="13" t="s">
        <v>392</v>
      </c>
      <c r="F751" s="13"/>
      <c r="G751" s="13" t="s">
        <v>81</v>
      </c>
      <c r="H751" s="13" t="s">
        <v>22</v>
      </c>
      <c r="I751" s="13">
        <v>7</v>
      </c>
      <c r="J751" s="13">
        <v>7.5</v>
      </c>
      <c r="K751" s="13">
        <v>0</v>
      </c>
      <c r="L751" s="13">
        <v>2</v>
      </c>
      <c r="M751" s="13"/>
      <c r="N751" s="13"/>
      <c r="O751" s="13"/>
      <c r="P751" s="13"/>
      <c r="Q751" s="13" t="s">
        <v>393</v>
      </c>
      <c r="R751" s="13" t="s">
        <v>9</v>
      </c>
      <c r="S751" s="13" t="s">
        <v>9</v>
      </c>
    </row>
    <row r="752" spans="2:19">
      <c r="B752" s="13"/>
      <c r="C752" s="14">
        <v>252825</v>
      </c>
      <c r="D752" s="13" t="s">
        <v>211</v>
      </c>
      <c r="E752" s="13" t="s">
        <v>394</v>
      </c>
      <c r="F752" s="13"/>
      <c r="G752" s="13" t="s">
        <v>81</v>
      </c>
      <c r="H752" s="13" t="s">
        <v>22</v>
      </c>
      <c r="I752" s="13">
        <v>7</v>
      </c>
      <c r="J752" s="13">
        <v>5.5</v>
      </c>
      <c r="K752" s="13">
        <v>1.5</v>
      </c>
      <c r="L752" s="13">
        <v>2</v>
      </c>
      <c r="M752" s="13"/>
      <c r="N752" s="13"/>
      <c r="O752" s="13"/>
      <c r="P752" s="13"/>
      <c r="Q752" s="13"/>
      <c r="R752" s="13" t="s">
        <v>9</v>
      </c>
      <c r="S752" s="13" t="s">
        <v>9</v>
      </c>
    </row>
    <row r="753" spans="2:19">
      <c r="B753" s="13"/>
      <c r="C753" s="14">
        <v>252825</v>
      </c>
      <c r="D753" s="13" t="s">
        <v>211</v>
      </c>
      <c r="E753" s="13" t="s">
        <v>395</v>
      </c>
      <c r="F753" s="13"/>
      <c r="G753" s="13" t="s">
        <v>81</v>
      </c>
      <c r="H753" s="13" t="s">
        <v>22</v>
      </c>
      <c r="I753" s="13">
        <v>5</v>
      </c>
      <c r="J753" s="13">
        <v>5</v>
      </c>
      <c r="K753" s="13">
        <v>0</v>
      </c>
      <c r="L753" s="13">
        <v>2</v>
      </c>
      <c r="M753" s="13"/>
      <c r="N753" s="13"/>
      <c r="O753" s="13"/>
      <c r="P753" s="13"/>
      <c r="Q753" s="13"/>
      <c r="R753" s="13" t="s">
        <v>9</v>
      </c>
      <c r="S753" s="13" t="s">
        <v>9</v>
      </c>
    </row>
    <row r="754" spans="2:19">
      <c r="B754" s="13"/>
      <c r="C754" s="14">
        <v>252825</v>
      </c>
      <c r="D754" s="13" t="s">
        <v>211</v>
      </c>
      <c r="E754" s="13" t="s">
        <v>396</v>
      </c>
      <c r="F754" s="13"/>
      <c r="G754" s="13" t="s">
        <v>81</v>
      </c>
      <c r="H754" s="13" t="s">
        <v>22</v>
      </c>
      <c r="I754" s="13">
        <v>4</v>
      </c>
      <c r="J754" s="13">
        <v>4</v>
      </c>
      <c r="K754" s="13">
        <v>0</v>
      </c>
      <c r="L754" s="13">
        <v>2</v>
      </c>
      <c r="M754" s="13"/>
      <c r="N754" s="13"/>
      <c r="O754" s="13"/>
      <c r="P754" s="13"/>
      <c r="Q754" s="13"/>
      <c r="R754" s="13" t="s">
        <v>9</v>
      </c>
      <c r="S754" s="13" t="s">
        <v>9</v>
      </c>
    </row>
    <row r="755" spans="2:19">
      <c r="B755" s="13"/>
      <c r="C755" s="14">
        <v>252825</v>
      </c>
      <c r="D755" s="13" t="s">
        <v>211</v>
      </c>
      <c r="E755" s="13" t="s">
        <v>397</v>
      </c>
      <c r="F755" s="13"/>
      <c r="G755" s="13" t="s">
        <v>81</v>
      </c>
      <c r="H755" s="13" t="s">
        <v>22</v>
      </c>
      <c r="I755" s="13">
        <v>7</v>
      </c>
      <c r="J755" s="13">
        <v>3</v>
      </c>
      <c r="K755" s="13">
        <v>4</v>
      </c>
      <c r="L755" s="13">
        <v>2</v>
      </c>
      <c r="M755" s="13"/>
      <c r="N755" s="13"/>
      <c r="O755" s="13"/>
      <c r="P755" s="13"/>
      <c r="Q755" s="13"/>
      <c r="R755" s="13" t="s">
        <v>9</v>
      </c>
      <c r="S755" s="13" t="s">
        <v>9</v>
      </c>
    </row>
    <row r="756" spans="2:19">
      <c r="B756" s="13"/>
      <c r="C756" s="14">
        <v>252825</v>
      </c>
      <c r="D756" s="13" t="s">
        <v>211</v>
      </c>
      <c r="E756" s="13" t="s">
        <v>398</v>
      </c>
      <c r="F756" s="13"/>
      <c r="G756" s="13" t="s">
        <v>81</v>
      </c>
      <c r="H756" s="13" t="s">
        <v>18</v>
      </c>
      <c r="I756" s="13">
        <v>5</v>
      </c>
      <c r="J756" s="13">
        <v>5</v>
      </c>
      <c r="K756" s="13">
        <v>0</v>
      </c>
      <c r="L756" s="13">
        <v>2</v>
      </c>
      <c r="M756" s="13"/>
      <c r="N756" s="13"/>
      <c r="O756" s="13"/>
      <c r="P756" s="13"/>
      <c r="Q756" s="13"/>
      <c r="R756" s="13" t="s">
        <v>8</v>
      </c>
      <c r="S756" s="13" t="s">
        <v>8</v>
      </c>
    </row>
    <row r="757" spans="2:19">
      <c r="B757" s="13"/>
      <c r="C757" s="14">
        <v>252825</v>
      </c>
      <c r="D757" s="13" t="s">
        <v>211</v>
      </c>
      <c r="E757" s="13" t="s">
        <v>399</v>
      </c>
      <c r="F757" s="13"/>
      <c r="G757" s="13" t="s">
        <v>81</v>
      </c>
      <c r="H757" s="13" t="s">
        <v>22</v>
      </c>
      <c r="I757" s="13">
        <v>4</v>
      </c>
      <c r="J757" s="13">
        <v>4</v>
      </c>
      <c r="K757" s="13">
        <v>0</v>
      </c>
      <c r="L757" s="13">
        <v>2</v>
      </c>
      <c r="M757" s="13"/>
      <c r="N757" s="13"/>
      <c r="O757" s="13"/>
      <c r="P757" s="13"/>
      <c r="Q757" s="13"/>
      <c r="R757" s="13" t="s">
        <v>9</v>
      </c>
      <c r="S757" s="13" t="s">
        <v>9</v>
      </c>
    </row>
    <row r="758" spans="2:19">
      <c r="B758" s="13"/>
      <c r="C758" s="14">
        <v>252825</v>
      </c>
      <c r="D758" s="13" t="s">
        <v>211</v>
      </c>
      <c r="E758" s="13" t="s">
        <v>400</v>
      </c>
      <c r="F758" s="13"/>
      <c r="G758" s="13" t="s">
        <v>81</v>
      </c>
      <c r="H758" s="13" t="s">
        <v>20</v>
      </c>
      <c r="I758" s="13">
        <v>7</v>
      </c>
      <c r="J758" s="13">
        <v>7</v>
      </c>
      <c r="K758" s="13">
        <v>0</v>
      </c>
      <c r="L758" s="13">
        <v>2</v>
      </c>
      <c r="M758" s="13"/>
      <c r="N758" s="13"/>
      <c r="O758" s="13"/>
      <c r="P758" s="13"/>
      <c r="Q758" s="13" t="s">
        <v>83</v>
      </c>
      <c r="R758" s="13" t="s">
        <v>8</v>
      </c>
      <c r="S758" s="13" t="s">
        <v>8</v>
      </c>
    </row>
    <row r="759" spans="2:19">
      <c r="B759" s="13"/>
      <c r="C759" s="14">
        <v>252825</v>
      </c>
      <c r="D759" s="13" t="s">
        <v>211</v>
      </c>
      <c r="E759" s="13" t="s">
        <v>401</v>
      </c>
      <c r="F759" s="13"/>
      <c r="G759" s="13" t="s">
        <v>81</v>
      </c>
      <c r="H759" s="13" t="s">
        <v>18</v>
      </c>
      <c r="I759" s="13">
        <v>7</v>
      </c>
      <c r="J759" s="13">
        <v>7</v>
      </c>
      <c r="K759" s="13">
        <v>0</v>
      </c>
      <c r="L759" s="13">
        <v>2</v>
      </c>
      <c r="M759" s="13"/>
      <c r="N759" s="13"/>
      <c r="O759" s="13"/>
      <c r="P759" s="13"/>
      <c r="Q759" s="13"/>
      <c r="R759" s="13" t="s">
        <v>8</v>
      </c>
      <c r="S759" s="13" t="s">
        <v>8</v>
      </c>
    </row>
    <row r="760" spans="2:19">
      <c r="B760" s="13"/>
      <c r="C760" s="14">
        <v>252825</v>
      </c>
      <c r="D760" s="13" t="s">
        <v>211</v>
      </c>
      <c r="E760" s="13" t="s">
        <v>402</v>
      </c>
      <c r="F760" s="13"/>
      <c r="G760" s="13" t="s">
        <v>81</v>
      </c>
      <c r="H760" s="13" t="s">
        <v>18</v>
      </c>
      <c r="I760" s="13">
        <v>7</v>
      </c>
      <c r="J760" s="13">
        <v>7</v>
      </c>
      <c r="K760" s="13">
        <v>0</v>
      </c>
      <c r="L760" s="13">
        <v>2</v>
      </c>
      <c r="M760" s="13"/>
      <c r="N760" s="13"/>
      <c r="O760" s="13"/>
      <c r="P760" s="13"/>
      <c r="Q760" s="13"/>
      <c r="R760" s="13" t="s">
        <v>8</v>
      </c>
      <c r="S760" s="13" t="s">
        <v>8</v>
      </c>
    </row>
    <row r="761" spans="2:19">
      <c r="B761" s="13"/>
      <c r="C761" s="14">
        <v>252825</v>
      </c>
      <c r="D761" s="13" t="s">
        <v>211</v>
      </c>
      <c r="E761" s="13" t="s">
        <v>403</v>
      </c>
      <c r="F761" s="13"/>
      <c r="G761" s="13" t="s">
        <v>81</v>
      </c>
      <c r="H761" s="13" t="s">
        <v>7</v>
      </c>
      <c r="I761" s="13">
        <v>7</v>
      </c>
      <c r="J761" s="13">
        <v>7</v>
      </c>
      <c r="K761" s="13">
        <v>0</v>
      </c>
      <c r="L761" s="13">
        <v>2</v>
      </c>
      <c r="M761" s="13"/>
      <c r="N761" s="13"/>
      <c r="O761" s="13"/>
      <c r="P761" s="13"/>
      <c r="Q761" s="13"/>
      <c r="R761" s="13" t="s">
        <v>8</v>
      </c>
      <c r="S761" s="13" t="s">
        <v>8</v>
      </c>
    </row>
    <row r="762" spans="2:19">
      <c r="B762" s="13"/>
      <c r="C762" s="14">
        <v>252825</v>
      </c>
      <c r="D762" s="13" t="s">
        <v>211</v>
      </c>
      <c r="E762" s="13" t="s">
        <v>404</v>
      </c>
      <c r="F762" s="13"/>
      <c r="G762" s="13" t="s">
        <v>81</v>
      </c>
      <c r="H762" s="13" t="s">
        <v>20</v>
      </c>
      <c r="I762" s="13">
        <v>7</v>
      </c>
      <c r="J762" s="13">
        <v>7</v>
      </c>
      <c r="K762" s="13">
        <v>0</v>
      </c>
      <c r="L762" s="13">
        <v>2</v>
      </c>
      <c r="M762" s="13"/>
      <c r="N762" s="13"/>
      <c r="O762" s="13"/>
      <c r="P762" s="13"/>
      <c r="Q762" s="13"/>
      <c r="R762" s="13" t="s">
        <v>8</v>
      </c>
      <c r="S762" s="13" t="s">
        <v>8</v>
      </c>
    </row>
    <row r="763" spans="2:19">
      <c r="B763" s="13"/>
      <c r="C763" s="14">
        <v>252825</v>
      </c>
      <c r="D763" s="13" t="s">
        <v>211</v>
      </c>
      <c r="E763" s="13" t="s">
        <v>405</v>
      </c>
      <c r="F763" s="13"/>
      <c r="G763" s="13" t="s">
        <v>81</v>
      </c>
      <c r="H763" s="13" t="s">
        <v>20</v>
      </c>
      <c r="I763" s="13">
        <v>7</v>
      </c>
      <c r="J763" s="13">
        <v>7</v>
      </c>
      <c r="K763" s="13">
        <v>0</v>
      </c>
      <c r="L763" s="13">
        <v>2</v>
      </c>
      <c r="M763" s="13"/>
      <c r="N763" s="13"/>
      <c r="O763" s="13"/>
      <c r="P763" s="13"/>
      <c r="Q763" s="13"/>
      <c r="R763" s="13" t="s">
        <v>8</v>
      </c>
      <c r="S763" s="13" t="s">
        <v>8</v>
      </c>
    </row>
    <row r="764" spans="2:19">
      <c r="B764" s="13"/>
      <c r="C764" s="14">
        <v>252825</v>
      </c>
      <c r="D764" s="13" t="s">
        <v>211</v>
      </c>
      <c r="E764" s="13" t="s">
        <v>406</v>
      </c>
      <c r="F764" s="13"/>
      <c r="G764" s="13" t="s">
        <v>81</v>
      </c>
      <c r="H764" s="13" t="s">
        <v>7</v>
      </c>
      <c r="I764" s="13">
        <v>14</v>
      </c>
      <c r="J764" s="13">
        <v>4</v>
      </c>
      <c r="K764" s="13">
        <v>10</v>
      </c>
      <c r="L764" s="13">
        <v>2</v>
      </c>
      <c r="M764" s="13"/>
      <c r="N764" s="13"/>
      <c r="O764" s="13"/>
      <c r="P764" s="13"/>
      <c r="Q764" s="13" t="s">
        <v>340</v>
      </c>
      <c r="R764" s="13" t="s">
        <v>8</v>
      </c>
      <c r="S764" s="13" t="s">
        <v>8</v>
      </c>
    </row>
    <row r="765" spans="2:19">
      <c r="B765" s="13"/>
      <c r="C765" s="14">
        <v>252825</v>
      </c>
      <c r="D765" s="13" t="s">
        <v>211</v>
      </c>
      <c r="E765" s="13" t="s">
        <v>407</v>
      </c>
      <c r="F765" s="13"/>
      <c r="G765" s="13" t="s">
        <v>81</v>
      </c>
      <c r="H765" s="13" t="s">
        <v>20</v>
      </c>
      <c r="I765" s="13">
        <v>7</v>
      </c>
      <c r="J765" s="13">
        <v>7</v>
      </c>
      <c r="K765" s="13">
        <v>0</v>
      </c>
      <c r="L765" s="13">
        <v>2</v>
      </c>
      <c r="M765" s="13"/>
      <c r="N765" s="13"/>
      <c r="O765" s="13"/>
      <c r="P765" s="13"/>
      <c r="Q765" s="13" t="s">
        <v>83</v>
      </c>
      <c r="R765" s="13" t="s">
        <v>8</v>
      </c>
      <c r="S765" s="13" t="s">
        <v>8</v>
      </c>
    </row>
    <row r="766" spans="2:19">
      <c r="B766" s="13"/>
      <c r="C766" s="14">
        <v>252825</v>
      </c>
      <c r="D766" s="13" t="s">
        <v>211</v>
      </c>
      <c r="E766" s="13" t="s">
        <v>408</v>
      </c>
      <c r="F766" s="13"/>
      <c r="G766" s="13" t="s">
        <v>81</v>
      </c>
      <c r="H766" s="13" t="s">
        <v>7</v>
      </c>
      <c r="I766" s="13">
        <v>5</v>
      </c>
      <c r="J766" s="13">
        <v>5</v>
      </c>
      <c r="K766" s="13">
        <v>0</v>
      </c>
      <c r="L766" s="13">
        <v>2</v>
      </c>
      <c r="M766" s="13"/>
      <c r="N766" s="13"/>
      <c r="O766" s="13"/>
      <c r="P766" s="13"/>
      <c r="Q766" s="13"/>
      <c r="R766" s="13" t="s">
        <v>8</v>
      </c>
      <c r="S766" s="13" t="s">
        <v>8</v>
      </c>
    </row>
    <row r="767" spans="2:19">
      <c r="B767" s="13"/>
      <c r="C767" s="14">
        <v>252825</v>
      </c>
      <c r="D767" s="13" t="s">
        <v>211</v>
      </c>
      <c r="E767" s="13" t="s">
        <v>409</v>
      </c>
      <c r="F767" s="13"/>
      <c r="G767" s="13" t="s">
        <v>81</v>
      </c>
      <c r="H767" s="13" t="s">
        <v>18</v>
      </c>
      <c r="I767" s="13">
        <v>7</v>
      </c>
      <c r="J767" s="13">
        <v>7</v>
      </c>
      <c r="K767" s="13">
        <v>0</v>
      </c>
      <c r="L767" s="13">
        <v>2</v>
      </c>
      <c r="M767" s="13"/>
      <c r="N767" s="13"/>
      <c r="O767" s="13"/>
      <c r="P767" s="13"/>
      <c r="Q767" s="13"/>
      <c r="R767" s="13" t="s">
        <v>8</v>
      </c>
      <c r="S767" s="13" t="s">
        <v>8</v>
      </c>
    </row>
    <row r="768" spans="2:19">
      <c r="B768" s="13"/>
      <c r="C768" s="14">
        <v>252825</v>
      </c>
      <c r="D768" s="13" t="s">
        <v>211</v>
      </c>
      <c r="E768" s="13" t="s">
        <v>410</v>
      </c>
      <c r="F768" s="13"/>
      <c r="G768" s="13" t="s">
        <v>81</v>
      </c>
      <c r="H768" s="13" t="s">
        <v>20</v>
      </c>
      <c r="I768" s="13">
        <v>7</v>
      </c>
      <c r="J768" s="13">
        <v>7</v>
      </c>
      <c r="K768" s="13">
        <v>0</v>
      </c>
      <c r="L768" s="13">
        <v>2</v>
      </c>
      <c r="M768" s="13"/>
      <c r="N768" s="13"/>
      <c r="O768" s="13"/>
      <c r="P768" s="13"/>
      <c r="Q768" s="13"/>
      <c r="R768" s="13" t="s">
        <v>8</v>
      </c>
      <c r="S768" s="13" t="s">
        <v>8</v>
      </c>
    </row>
    <row r="769" spans="2:19">
      <c r="B769" s="13"/>
      <c r="C769" s="14">
        <v>252825</v>
      </c>
      <c r="D769" s="13" t="s">
        <v>211</v>
      </c>
      <c r="E769" s="13" t="s">
        <v>411</v>
      </c>
      <c r="F769" s="13"/>
      <c r="G769" s="13" t="s">
        <v>81</v>
      </c>
      <c r="H769" s="13" t="s">
        <v>20</v>
      </c>
      <c r="I769" s="13">
        <v>3</v>
      </c>
      <c r="J769" s="13">
        <v>3</v>
      </c>
      <c r="K769" s="13">
        <v>0</v>
      </c>
      <c r="L769" s="13">
        <v>2</v>
      </c>
      <c r="M769" s="13"/>
      <c r="N769" s="13"/>
      <c r="O769" s="13"/>
      <c r="P769" s="13"/>
      <c r="Q769" s="13"/>
      <c r="R769" s="13" t="s">
        <v>8</v>
      </c>
      <c r="S769" s="13" t="s">
        <v>8</v>
      </c>
    </row>
    <row r="770" spans="2:19">
      <c r="B770" s="13"/>
      <c r="C770" s="14">
        <v>252825</v>
      </c>
      <c r="D770" s="13" t="s">
        <v>211</v>
      </c>
      <c r="E770" s="13" t="s">
        <v>412</v>
      </c>
      <c r="F770" s="13"/>
      <c r="G770" s="13" t="s">
        <v>81</v>
      </c>
      <c r="H770" s="13" t="s">
        <v>18</v>
      </c>
      <c r="I770" s="13">
        <v>7</v>
      </c>
      <c r="J770" s="13">
        <v>7</v>
      </c>
      <c r="K770" s="13">
        <v>0</v>
      </c>
      <c r="L770" s="13">
        <v>2</v>
      </c>
      <c r="M770" s="13"/>
      <c r="N770" s="13"/>
      <c r="O770" s="13"/>
      <c r="P770" s="13"/>
      <c r="Q770" s="13"/>
      <c r="R770" s="13" t="s">
        <v>8</v>
      </c>
      <c r="S770" s="13" t="s">
        <v>8</v>
      </c>
    </row>
    <row r="771" spans="2:19">
      <c r="B771" s="13"/>
      <c r="C771" s="14">
        <v>252825</v>
      </c>
      <c r="D771" s="13" t="s">
        <v>211</v>
      </c>
      <c r="E771" s="13" t="s">
        <v>413</v>
      </c>
      <c r="F771" s="13"/>
      <c r="G771" s="13" t="s">
        <v>81</v>
      </c>
      <c r="H771" s="13" t="s">
        <v>22</v>
      </c>
      <c r="I771" s="13">
        <v>4</v>
      </c>
      <c r="J771" s="13">
        <v>3</v>
      </c>
      <c r="K771" s="13">
        <v>1</v>
      </c>
      <c r="L771" s="13">
        <v>2</v>
      </c>
      <c r="M771" s="13"/>
      <c r="N771" s="13"/>
      <c r="O771" s="13"/>
      <c r="P771" s="13"/>
      <c r="Q771" s="13" t="s">
        <v>340</v>
      </c>
      <c r="R771" s="13" t="s">
        <v>9</v>
      </c>
      <c r="S771" s="13" t="s">
        <v>9</v>
      </c>
    </row>
    <row r="772" spans="2:19">
      <c r="B772" s="13"/>
      <c r="C772" s="14">
        <v>263833</v>
      </c>
      <c r="D772" s="13" t="s">
        <v>211</v>
      </c>
      <c r="E772" s="13" t="s">
        <v>281</v>
      </c>
      <c r="F772" s="13"/>
      <c r="G772" s="13" t="s">
        <v>81</v>
      </c>
      <c r="H772" s="13" t="s">
        <v>217</v>
      </c>
      <c r="I772" s="13">
        <v>0</v>
      </c>
      <c r="J772" s="13">
        <v>7.08</v>
      </c>
      <c r="K772" s="13">
        <v>0</v>
      </c>
      <c r="L772" s="13">
        <v>2</v>
      </c>
      <c r="M772" s="13"/>
      <c r="N772" s="13"/>
      <c r="O772" s="13"/>
      <c r="P772" s="13"/>
      <c r="Q772" s="13"/>
      <c r="R772" s="13" t="s">
        <v>280</v>
      </c>
      <c r="S772" s="13" t="s">
        <v>9</v>
      </c>
    </row>
    <row r="773" spans="2:19">
      <c r="B773" s="13"/>
      <c r="C773" s="14">
        <v>263833</v>
      </c>
      <c r="D773" s="13" t="s">
        <v>211</v>
      </c>
      <c r="E773" s="13" t="s">
        <v>285</v>
      </c>
      <c r="F773" s="13"/>
      <c r="G773" s="13" t="s">
        <v>81</v>
      </c>
      <c r="H773" s="13" t="s">
        <v>22</v>
      </c>
      <c r="I773" s="13">
        <v>0</v>
      </c>
      <c r="J773" s="13">
        <v>11.02</v>
      </c>
      <c r="K773" s="13">
        <v>0</v>
      </c>
      <c r="L773" s="13">
        <v>2</v>
      </c>
      <c r="M773" s="13"/>
      <c r="N773" s="13"/>
      <c r="O773" s="13"/>
      <c r="P773" s="13"/>
      <c r="Q773" s="13"/>
      <c r="R773" s="13" t="s">
        <v>9</v>
      </c>
      <c r="S773" s="13" t="s">
        <v>9</v>
      </c>
    </row>
    <row r="774" spans="2:19">
      <c r="B774" s="13"/>
      <c r="C774" s="14">
        <v>263833</v>
      </c>
      <c r="D774" s="13" t="s">
        <v>211</v>
      </c>
      <c r="E774" s="13" t="s">
        <v>279</v>
      </c>
      <c r="F774" s="13"/>
      <c r="G774" s="13" t="s">
        <v>81</v>
      </c>
      <c r="H774" s="13" t="s">
        <v>7</v>
      </c>
      <c r="I774" s="13">
        <v>0</v>
      </c>
      <c r="J774" s="13">
        <v>47</v>
      </c>
      <c r="K774" s="13">
        <v>0</v>
      </c>
      <c r="L774" s="13">
        <v>2</v>
      </c>
      <c r="M774" s="13"/>
      <c r="N774" s="13"/>
      <c r="O774" s="13"/>
      <c r="P774" s="13"/>
      <c r="Q774" s="13"/>
      <c r="R774" s="13" t="s">
        <v>8</v>
      </c>
      <c r="S774" s="13" t="s">
        <v>8</v>
      </c>
    </row>
    <row r="775" spans="2:19">
      <c r="B775" s="13"/>
      <c r="C775" s="14">
        <v>263833</v>
      </c>
      <c r="D775" s="13" t="s">
        <v>211</v>
      </c>
      <c r="E775" s="13" t="s">
        <v>414</v>
      </c>
      <c r="F775" s="13"/>
      <c r="G775" s="13" t="s">
        <v>81</v>
      </c>
      <c r="H775" s="13" t="s">
        <v>16</v>
      </c>
      <c r="I775" s="13">
        <v>0</v>
      </c>
      <c r="J775" s="13">
        <v>22</v>
      </c>
      <c r="K775" s="13">
        <v>0</v>
      </c>
      <c r="L775" s="13">
        <v>2</v>
      </c>
      <c r="M775" s="13"/>
      <c r="N775" s="13"/>
      <c r="O775" s="13"/>
      <c r="P775" s="13"/>
      <c r="Q775" s="13"/>
      <c r="R775" s="13" t="s">
        <v>226</v>
      </c>
      <c r="S775" s="13" t="s">
        <v>13</v>
      </c>
    </row>
    <row r="776" spans="2:19">
      <c r="B776" s="13"/>
      <c r="C776" s="14">
        <v>263833</v>
      </c>
      <c r="D776" s="13" t="s">
        <v>211</v>
      </c>
      <c r="E776" s="13" t="s">
        <v>283</v>
      </c>
      <c r="F776" s="13"/>
      <c r="G776" s="13" t="s">
        <v>81</v>
      </c>
      <c r="H776" s="13" t="s">
        <v>20</v>
      </c>
      <c r="I776" s="13">
        <v>0</v>
      </c>
      <c r="J776" s="13">
        <v>21</v>
      </c>
      <c r="K776" s="13">
        <v>0</v>
      </c>
      <c r="L776" s="13">
        <v>2</v>
      </c>
      <c r="M776" s="13"/>
      <c r="N776" s="13"/>
      <c r="O776" s="13"/>
      <c r="P776" s="13"/>
      <c r="Q776" s="13"/>
      <c r="R776" s="13" t="s">
        <v>8</v>
      </c>
      <c r="S776" s="13" t="s">
        <v>8</v>
      </c>
    </row>
    <row r="777" spans="2:19">
      <c r="B777" s="13"/>
      <c r="C777" s="14">
        <v>263833</v>
      </c>
      <c r="D777" s="13" t="s">
        <v>211</v>
      </c>
      <c r="E777" s="13" t="s">
        <v>284</v>
      </c>
      <c r="F777" s="13"/>
      <c r="G777" s="13" t="s">
        <v>81</v>
      </c>
      <c r="H777" s="13" t="s">
        <v>18</v>
      </c>
      <c r="I777" s="13">
        <v>0</v>
      </c>
      <c r="J777" s="13">
        <v>14</v>
      </c>
      <c r="K777" s="13">
        <v>0</v>
      </c>
      <c r="L777" s="13">
        <v>2</v>
      </c>
      <c r="M777" s="13"/>
      <c r="N777" s="13"/>
      <c r="O777" s="13"/>
      <c r="P777" s="13"/>
      <c r="Q777" s="13"/>
      <c r="R777" s="13" t="s">
        <v>8</v>
      </c>
      <c r="S777" s="13" t="s">
        <v>8</v>
      </c>
    </row>
    <row r="778" spans="2:19">
      <c r="B778" s="13"/>
      <c r="C778" s="14">
        <v>263833</v>
      </c>
      <c r="D778" s="13" t="s">
        <v>211</v>
      </c>
      <c r="E778" s="13" t="s">
        <v>416</v>
      </c>
      <c r="F778" s="13"/>
      <c r="G778" s="13" t="s">
        <v>81</v>
      </c>
      <c r="H778" s="13" t="s">
        <v>23</v>
      </c>
      <c r="I778" s="13">
        <v>0</v>
      </c>
      <c r="J778" s="13">
        <v>13.67</v>
      </c>
      <c r="K778" s="13">
        <v>0</v>
      </c>
      <c r="L778" s="13">
        <v>2</v>
      </c>
      <c r="M778" s="13"/>
      <c r="N778" s="13"/>
      <c r="O778" s="13"/>
      <c r="P778" s="13"/>
      <c r="Q778" s="13"/>
      <c r="R778" s="13" t="s">
        <v>280</v>
      </c>
      <c r="S778" s="13" t="s">
        <v>9</v>
      </c>
    </row>
    <row r="779" spans="2:19">
      <c r="B779" s="13"/>
      <c r="C779" s="14">
        <v>263833</v>
      </c>
      <c r="D779" s="13" t="s">
        <v>211</v>
      </c>
      <c r="E779" s="13" t="s">
        <v>282</v>
      </c>
      <c r="F779" s="13"/>
      <c r="G779" s="13" t="s">
        <v>81</v>
      </c>
      <c r="H779" s="13" t="s">
        <v>10</v>
      </c>
      <c r="I779" s="13">
        <v>0</v>
      </c>
      <c r="J779" s="13">
        <v>16</v>
      </c>
      <c r="K779" s="13">
        <v>0</v>
      </c>
      <c r="L779" s="13">
        <v>2</v>
      </c>
      <c r="M779" s="13"/>
      <c r="N779" s="13"/>
      <c r="O779" s="13"/>
      <c r="P779" s="13"/>
      <c r="Q779" s="13"/>
      <c r="R779" s="13" t="s">
        <v>8</v>
      </c>
      <c r="S779" s="13" t="s">
        <v>13</v>
      </c>
    </row>
    <row r="780" spans="2:19">
      <c r="I780" s="13">
        <f t="shared" ref="I780:K780" si="1">SUM(I638:I779)</f>
        <v>569</v>
      </c>
      <c r="J780" s="13">
        <f t="shared" si="1"/>
        <v>776.45999999999992</v>
      </c>
      <c r="K780" s="13">
        <f t="shared" si="1"/>
        <v>58.5</v>
      </c>
    </row>
    <row r="781" spans="2:19">
      <c r="B781" s="108" t="s">
        <v>417</v>
      </c>
    </row>
    <row r="782" spans="2:19">
      <c r="B782" s="13" t="s">
        <v>26</v>
      </c>
      <c r="C782" s="13" t="s">
        <v>27</v>
      </c>
      <c r="D782" s="13" t="s">
        <v>28</v>
      </c>
      <c r="E782" s="13" t="s">
        <v>29</v>
      </c>
      <c r="F782" s="13" t="s">
        <v>31</v>
      </c>
      <c r="G782" s="13" t="s">
        <v>30</v>
      </c>
      <c r="H782" s="13" t="s">
        <v>179</v>
      </c>
      <c r="I782" s="13" t="s">
        <v>180</v>
      </c>
      <c r="J782" s="13" t="s">
        <v>181</v>
      </c>
      <c r="K782" s="13" t="s">
        <v>182</v>
      </c>
      <c r="L782" s="13" t="s">
        <v>183</v>
      </c>
      <c r="M782" s="13" t="s">
        <v>184</v>
      </c>
      <c r="N782" s="13" t="s">
        <v>185</v>
      </c>
      <c r="O782" s="13" t="s">
        <v>186</v>
      </c>
      <c r="P782" s="13" t="s">
        <v>187</v>
      </c>
      <c r="Q782" s="13" t="s">
        <v>188</v>
      </c>
      <c r="R782" s="13" t="s">
        <v>189</v>
      </c>
      <c r="S782" s="13" t="s">
        <v>190</v>
      </c>
    </row>
    <row r="783" spans="2:19">
      <c r="B783" s="13"/>
      <c r="C783" s="14">
        <v>242628</v>
      </c>
      <c r="D783" s="13" t="s">
        <v>232</v>
      </c>
      <c r="E783" s="13" t="s">
        <v>234</v>
      </c>
      <c r="F783" s="13"/>
      <c r="G783" s="13" t="s">
        <v>233</v>
      </c>
      <c r="H783" s="13" t="s">
        <v>14</v>
      </c>
      <c r="I783" s="13">
        <v>0</v>
      </c>
      <c r="J783" s="13">
        <v>0.5</v>
      </c>
      <c r="K783" s="13">
        <v>0</v>
      </c>
      <c r="L783" s="13">
        <v>3</v>
      </c>
      <c r="M783" s="13" t="s">
        <v>236</v>
      </c>
      <c r="N783" s="13"/>
      <c r="O783" s="13"/>
      <c r="P783" s="13"/>
      <c r="Q783" s="13"/>
      <c r="R783" s="13"/>
      <c r="S783" s="13" t="s">
        <v>13</v>
      </c>
    </row>
    <row r="784" spans="2:19">
      <c r="B784" s="13"/>
      <c r="C784" s="14">
        <v>242628</v>
      </c>
      <c r="D784" s="13" t="s">
        <v>232</v>
      </c>
      <c r="E784" s="13" t="s">
        <v>237</v>
      </c>
      <c r="F784" s="13"/>
      <c r="G784" s="13" t="s">
        <v>233</v>
      </c>
      <c r="H784" s="13" t="s">
        <v>14</v>
      </c>
      <c r="I784" s="13">
        <v>0</v>
      </c>
      <c r="J784" s="13">
        <v>0</v>
      </c>
      <c r="K784" s="13">
        <v>0</v>
      </c>
      <c r="L784" s="13">
        <v>3</v>
      </c>
      <c r="M784" s="13" t="s">
        <v>236</v>
      </c>
      <c r="N784" s="13"/>
      <c r="O784" s="13"/>
      <c r="P784" s="13"/>
      <c r="Q784" s="13"/>
      <c r="R784" s="13"/>
      <c r="S784" s="13" t="s">
        <v>13</v>
      </c>
    </row>
    <row r="785" spans="2:19">
      <c r="B785" s="13"/>
      <c r="C785" s="14">
        <v>242628</v>
      </c>
      <c r="D785" s="13" t="s">
        <v>232</v>
      </c>
      <c r="E785" s="13" t="s">
        <v>238</v>
      </c>
      <c r="F785" s="13"/>
      <c r="G785" s="13" t="s">
        <v>233</v>
      </c>
      <c r="H785" s="13" t="s">
        <v>14</v>
      </c>
      <c r="I785" s="13">
        <v>0</v>
      </c>
      <c r="J785" s="13">
        <v>0</v>
      </c>
      <c r="K785" s="13">
        <v>0</v>
      </c>
      <c r="L785" s="13">
        <v>3</v>
      </c>
      <c r="M785" s="13" t="s">
        <v>236</v>
      </c>
      <c r="N785" s="13"/>
      <c r="O785" s="13"/>
      <c r="P785" s="13"/>
      <c r="Q785" s="13"/>
      <c r="R785" s="13"/>
      <c r="S785" s="13" t="s">
        <v>13</v>
      </c>
    </row>
    <row r="786" spans="2:19">
      <c r="B786" s="13"/>
      <c r="C786" s="14">
        <v>242628</v>
      </c>
      <c r="D786" s="13" t="s">
        <v>232</v>
      </c>
      <c r="E786" s="13" t="s">
        <v>239</v>
      </c>
      <c r="F786" s="13"/>
      <c r="G786" s="13" t="s">
        <v>233</v>
      </c>
      <c r="H786" s="13" t="s">
        <v>14</v>
      </c>
      <c r="I786" s="13">
        <v>0</v>
      </c>
      <c r="J786" s="13">
        <v>0</v>
      </c>
      <c r="K786" s="13">
        <v>0</v>
      </c>
      <c r="L786" s="13">
        <v>3</v>
      </c>
      <c r="M786" s="13" t="s">
        <v>240</v>
      </c>
      <c r="N786" s="13"/>
      <c r="O786" s="13"/>
      <c r="P786" s="13"/>
      <c r="Q786" s="13"/>
      <c r="R786" s="13"/>
      <c r="S786" s="13" t="s">
        <v>13</v>
      </c>
    </row>
    <row r="787" spans="2:19">
      <c r="B787" s="13"/>
      <c r="C787" s="14">
        <v>242628</v>
      </c>
      <c r="D787" s="13" t="s">
        <v>211</v>
      </c>
      <c r="E787" s="13" t="s">
        <v>341</v>
      </c>
      <c r="F787" s="13"/>
      <c r="G787" s="13" t="s">
        <v>81</v>
      </c>
      <c r="H787" s="13" t="s">
        <v>14</v>
      </c>
      <c r="I787" s="13">
        <v>14</v>
      </c>
      <c r="J787" s="13">
        <v>15</v>
      </c>
      <c r="K787" s="13">
        <v>0</v>
      </c>
      <c r="L787" s="13">
        <v>2</v>
      </c>
      <c r="M787" s="13"/>
      <c r="N787" s="13"/>
      <c r="O787" s="13"/>
      <c r="P787" s="13"/>
      <c r="Q787" s="13"/>
      <c r="R787" s="13" t="s">
        <v>277</v>
      </c>
      <c r="S787" s="13" t="s">
        <v>15</v>
      </c>
    </row>
    <row r="788" spans="2:19">
      <c r="B788" s="13"/>
      <c r="C788" s="14">
        <v>247748</v>
      </c>
      <c r="D788" s="13" t="s">
        <v>211</v>
      </c>
      <c r="E788" s="13" t="s">
        <v>341</v>
      </c>
      <c r="F788" s="13"/>
      <c r="G788" s="13" t="s">
        <v>81</v>
      </c>
      <c r="H788" s="13" t="s">
        <v>14</v>
      </c>
      <c r="I788" s="13">
        <v>14</v>
      </c>
      <c r="J788" s="13">
        <v>15</v>
      </c>
      <c r="K788" s="13">
        <v>0</v>
      </c>
      <c r="L788" s="13">
        <v>2</v>
      </c>
      <c r="M788" s="13"/>
      <c r="N788" s="13"/>
      <c r="O788" s="13"/>
      <c r="P788" s="13"/>
      <c r="Q788" s="13"/>
      <c r="R788" s="13" t="s">
        <v>277</v>
      </c>
      <c r="S788" s="13" t="s">
        <v>15</v>
      </c>
    </row>
    <row r="789" spans="2:19">
      <c r="B789" s="13"/>
      <c r="C789" s="14">
        <v>247748</v>
      </c>
      <c r="D789" s="13" t="s">
        <v>232</v>
      </c>
      <c r="E789" s="13" t="s">
        <v>343</v>
      </c>
      <c r="F789" s="13"/>
      <c r="G789" s="13" t="s">
        <v>235</v>
      </c>
      <c r="H789" s="13" t="s">
        <v>14</v>
      </c>
      <c r="I789" s="13">
        <v>0</v>
      </c>
      <c r="J789" s="13">
        <v>2</v>
      </c>
      <c r="K789" s="13">
        <v>0</v>
      </c>
      <c r="L789" s="13">
        <v>2</v>
      </c>
      <c r="M789" s="13" t="s">
        <v>236</v>
      </c>
      <c r="N789" s="13"/>
      <c r="O789" s="13"/>
      <c r="P789" s="13"/>
      <c r="Q789" s="13"/>
      <c r="R789" s="13"/>
      <c r="S789" s="13" t="s">
        <v>8</v>
      </c>
    </row>
    <row r="790" spans="2:19">
      <c r="B790" s="13"/>
      <c r="C790" s="14">
        <v>244770</v>
      </c>
      <c r="D790" s="13" t="s">
        <v>232</v>
      </c>
      <c r="E790" s="13" t="s">
        <v>246</v>
      </c>
      <c r="F790" s="13"/>
      <c r="G790" s="13" t="s">
        <v>233</v>
      </c>
      <c r="H790" s="13" t="s">
        <v>14</v>
      </c>
      <c r="I790" s="13">
        <v>0</v>
      </c>
      <c r="J790" s="13">
        <v>2</v>
      </c>
      <c r="K790" s="13">
        <v>0</v>
      </c>
      <c r="L790" s="13">
        <v>3</v>
      </c>
      <c r="M790" s="13" t="s">
        <v>236</v>
      </c>
      <c r="N790" s="13"/>
      <c r="O790" s="13"/>
      <c r="P790" s="13"/>
      <c r="Q790" s="13"/>
      <c r="R790" s="13"/>
      <c r="S790" s="13" t="s">
        <v>8</v>
      </c>
    </row>
    <row r="791" spans="2:19">
      <c r="B791" s="13"/>
      <c r="C791" s="14">
        <v>263534</v>
      </c>
      <c r="D791" s="13" t="s">
        <v>211</v>
      </c>
      <c r="E791" s="13" t="s">
        <v>263</v>
      </c>
      <c r="F791" s="13"/>
      <c r="G791" s="13" t="s">
        <v>81</v>
      </c>
      <c r="H791" s="13" t="s">
        <v>14</v>
      </c>
      <c r="I791" s="13">
        <v>7</v>
      </c>
      <c r="J791" s="13">
        <v>10</v>
      </c>
      <c r="K791" s="13">
        <v>0</v>
      </c>
      <c r="L791" s="13">
        <v>2</v>
      </c>
      <c r="M791" s="13"/>
      <c r="N791" s="13"/>
      <c r="O791" s="13"/>
      <c r="P791" s="13"/>
      <c r="Q791" s="13"/>
      <c r="R791" s="13" t="s">
        <v>264</v>
      </c>
      <c r="S791" s="13" t="s">
        <v>265</v>
      </c>
    </row>
    <row r="792" spans="2:19">
      <c r="B792" s="13"/>
      <c r="C792" s="14">
        <v>263534</v>
      </c>
      <c r="D792" s="13" t="s">
        <v>211</v>
      </c>
      <c r="E792" s="13" t="s">
        <v>266</v>
      </c>
      <c r="F792" s="13"/>
      <c r="G792" s="13" t="s">
        <v>81</v>
      </c>
      <c r="H792" s="13" t="s">
        <v>14</v>
      </c>
      <c r="I792" s="13">
        <v>7</v>
      </c>
      <c r="J792" s="13">
        <v>7</v>
      </c>
      <c r="K792" s="13">
        <v>0</v>
      </c>
      <c r="L792" s="13">
        <v>2</v>
      </c>
      <c r="M792" s="13"/>
      <c r="N792" s="13"/>
      <c r="O792" s="13"/>
      <c r="P792" s="13"/>
      <c r="Q792" s="13"/>
      <c r="R792" s="13" t="s">
        <v>267</v>
      </c>
      <c r="S792" s="13" t="s">
        <v>265</v>
      </c>
    </row>
    <row r="793" spans="2:19">
      <c r="B793" s="13"/>
      <c r="C793" s="14">
        <v>263534</v>
      </c>
      <c r="D793" s="13" t="s">
        <v>211</v>
      </c>
      <c r="E793" s="13" t="s">
        <v>373</v>
      </c>
      <c r="F793" s="13"/>
      <c r="G793" s="13" t="s">
        <v>81</v>
      </c>
      <c r="H793" s="13" t="s">
        <v>14</v>
      </c>
      <c r="I793" s="13">
        <v>7</v>
      </c>
      <c r="J793" s="13">
        <v>7</v>
      </c>
      <c r="K793" s="13">
        <v>0</v>
      </c>
      <c r="L793" s="13">
        <v>2</v>
      </c>
      <c r="M793" s="13"/>
      <c r="N793" s="13"/>
      <c r="O793" s="13"/>
      <c r="P793" s="13"/>
      <c r="Q793" s="13"/>
      <c r="R793" s="13" t="s">
        <v>226</v>
      </c>
      <c r="S793" s="13" t="s">
        <v>15</v>
      </c>
    </row>
    <row r="794" spans="2:19">
      <c r="B794" s="13"/>
      <c r="C794" s="14">
        <v>247302</v>
      </c>
      <c r="D794" s="13" t="s">
        <v>211</v>
      </c>
      <c r="E794" s="13" t="s">
        <v>380</v>
      </c>
      <c r="F794" s="13"/>
      <c r="G794" s="13" t="s">
        <v>81</v>
      </c>
      <c r="H794" s="13" t="s">
        <v>14</v>
      </c>
      <c r="I794" s="13">
        <v>2</v>
      </c>
      <c r="J794" s="13">
        <v>2</v>
      </c>
      <c r="K794" s="13">
        <v>0</v>
      </c>
      <c r="L794" s="13">
        <v>2</v>
      </c>
      <c r="M794" s="13"/>
      <c r="N794" s="13"/>
      <c r="O794" s="13"/>
      <c r="P794" s="13"/>
      <c r="Q794" s="13"/>
      <c r="R794" s="13" t="s">
        <v>381</v>
      </c>
      <c r="S794" s="13" t="s">
        <v>15</v>
      </c>
    </row>
    <row r="795" spans="2:19">
      <c r="B795" s="13"/>
      <c r="C795" s="14">
        <v>247303</v>
      </c>
      <c r="D795" s="13" t="s">
        <v>211</v>
      </c>
      <c r="E795" s="13" t="s">
        <v>380</v>
      </c>
      <c r="F795" s="13"/>
      <c r="G795" s="13" t="s">
        <v>81</v>
      </c>
      <c r="H795" s="13" t="s">
        <v>14</v>
      </c>
      <c r="I795" s="13">
        <v>1</v>
      </c>
      <c r="J795" s="13">
        <v>1</v>
      </c>
      <c r="K795" s="13">
        <v>0</v>
      </c>
      <c r="L795" s="13">
        <v>2</v>
      </c>
      <c r="M795" s="13"/>
      <c r="N795" s="13"/>
      <c r="O795" s="13"/>
      <c r="P795" s="13"/>
      <c r="Q795" s="13"/>
      <c r="R795" s="13" t="s">
        <v>381</v>
      </c>
      <c r="S795" s="13" t="s">
        <v>15</v>
      </c>
    </row>
    <row r="796" spans="2:19">
      <c r="B796" s="13"/>
      <c r="C796" s="14">
        <v>247304</v>
      </c>
      <c r="D796" s="13" t="s">
        <v>211</v>
      </c>
      <c r="E796" s="13" t="s">
        <v>380</v>
      </c>
      <c r="F796" s="13"/>
      <c r="G796" s="13" t="s">
        <v>81</v>
      </c>
      <c r="H796" s="13" t="s">
        <v>14</v>
      </c>
      <c r="I796" s="13">
        <v>2</v>
      </c>
      <c r="J796" s="13">
        <v>1</v>
      </c>
      <c r="K796" s="13">
        <v>1</v>
      </c>
      <c r="L796" s="13">
        <v>2</v>
      </c>
      <c r="M796" s="13"/>
      <c r="N796" s="13"/>
      <c r="O796" s="13"/>
      <c r="P796" s="13"/>
      <c r="Q796" s="13"/>
      <c r="R796" s="13" t="s">
        <v>381</v>
      </c>
      <c r="S796" s="13" t="s">
        <v>15</v>
      </c>
    </row>
    <row r="797" spans="2:19">
      <c r="B797" s="13"/>
      <c r="C797" s="14">
        <v>247305</v>
      </c>
      <c r="D797" s="13" t="s">
        <v>211</v>
      </c>
      <c r="E797" s="13" t="s">
        <v>380</v>
      </c>
      <c r="F797" s="13"/>
      <c r="G797" s="13" t="s">
        <v>81</v>
      </c>
      <c r="H797" s="13" t="s">
        <v>14</v>
      </c>
      <c r="I797" s="13">
        <v>2</v>
      </c>
      <c r="J797" s="13">
        <v>2</v>
      </c>
      <c r="K797" s="13">
        <v>0</v>
      </c>
      <c r="L797" s="13">
        <v>2</v>
      </c>
      <c r="M797" s="13"/>
      <c r="N797" s="13"/>
      <c r="O797" s="13"/>
      <c r="P797" s="13"/>
      <c r="Q797" s="13"/>
      <c r="R797" s="13" t="s">
        <v>381</v>
      </c>
      <c r="S797" s="13" t="s">
        <v>15</v>
      </c>
    </row>
    <row r="798" spans="2:19">
      <c r="B798" s="13"/>
      <c r="C798" s="14">
        <v>247306</v>
      </c>
      <c r="D798" s="13" t="s">
        <v>211</v>
      </c>
      <c r="E798" s="13" t="s">
        <v>380</v>
      </c>
      <c r="F798" s="13"/>
      <c r="G798" s="13" t="s">
        <v>81</v>
      </c>
      <c r="H798" s="13" t="s">
        <v>14</v>
      </c>
      <c r="I798" s="13">
        <v>2</v>
      </c>
      <c r="J798" s="13">
        <v>1</v>
      </c>
      <c r="K798" s="13">
        <v>1</v>
      </c>
      <c r="L798" s="13">
        <v>2</v>
      </c>
      <c r="M798" s="13"/>
      <c r="N798" s="13"/>
      <c r="O798" s="13"/>
      <c r="P798" s="13"/>
      <c r="Q798" s="13"/>
      <c r="R798" s="13" t="s">
        <v>381</v>
      </c>
      <c r="S798" s="13" t="s">
        <v>15</v>
      </c>
    </row>
    <row r="799" spans="2:19">
      <c r="B799" s="13"/>
      <c r="C799" s="14">
        <v>247322</v>
      </c>
      <c r="D799" s="13" t="s">
        <v>211</v>
      </c>
      <c r="E799" s="13" t="s">
        <v>380</v>
      </c>
      <c r="F799" s="13"/>
      <c r="G799" s="13" t="s">
        <v>81</v>
      </c>
      <c r="H799" s="13" t="s">
        <v>14</v>
      </c>
      <c r="I799" s="13">
        <v>2</v>
      </c>
      <c r="J799" s="13">
        <v>2</v>
      </c>
      <c r="K799" s="13">
        <v>0</v>
      </c>
      <c r="L799" s="13">
        <v>2</v>
      </c>
      <c r="M799" s="13"/>
      <c r="N799" s="13"/>
      <c r="O799" s="13"/>
      <c r="P799" s="13"/>
      <c r="Q799" s="13"/>
      <c r="R799" s="13" t="s">
        <v>381</v>
      </c>
      <c r="S799" s="13" t="s">
        <v>15</v>
      </c>
    </row>
    <row r="800" spans="2:19">
      <c r="B800" s="13"/>
      <c r="C800" s="14">
        <v>247321</v>
      </c>
      <c r="D800" s="13" t="s">
        <v>211</v>
      </c>
      <c r="E800" s="13" t="s">
        <v>380</v>
      </c>
      <c r="F800" s="13"/>
      <c r="G800" s="13" t="s">
        <v>81</v>
      </c>
      <c r="H800" s="13" t="s">
        <v>14</v>
      </c>
      <c r="I800" s="13">
        <v>3</v>
      </c>
      <c r="J800" s="13">
        <v>2</v>
      </c>
      <c r="K800" s="13">
        <v>1</v>
      </c>
      <c r="L800" s="13">
        <v>2</v>
      </c>
      <c r="M800" s="13"/>
      <c r="N800" s="13"/>
      <c r="O800" s="13"/>
      <c r="P800" s="13"/>
      <c r="Q800" s="13"/>
      <c r="R800" s="13" t="s">
        <v>381</v>
      </c>
      <c r="S800" s="13" t="s">
        <v>15</v>
      </c>
    </row>
    <row r="801" spans="2:19">
      <c r="B801" s="13"/>
      <c r="C801" s="14">
        <v>247324</v>
      </c>
      <c r="D801" s="13" t="s">
        <v>211</v>
      </c>
      <c r="E801" s="13" t="s">
        <v>380</v>
      </c>
      <c r="F801" s="13"/>
      <c r="G801" s="13" t="s">
        <v>81</v>
      </c>
      <c r="H801" s="13" t="s">
        <v>14</v>
      </c>
      <c r="I801" s="13">
        <v>2</v>
      </c>
      <c r="J801" s="13">
        <v>2</v>
      </c>
      <c r="K801" s="13">
        <v>0</v>
      </c>
      <c r="L801" s="13">
        <v>2</v>
      </c>
      <c r="M801" s="13"/>
      <c r="N801" s="13"/>
      <c r="O801" s="13"/>
      <c r="P801" s="13"/>
      <c r="Q801" s="13"/>
      <c r="R801" s="13" t="s">
        <v>381</v>
      </c>
      <c r="S801" s="13" t="s">
        <v>15</v>
      </c>
    </row>
    <row r="802" spans="2:19">
      <c r="B802" s="13"/>
      <c r="C802" s="14">
        <v>247323</v>
      </c>
      <c r="D802" s="13" t="s">
        <v>211</v>
      </c>
      <c r="E802" s="13" t="s">
        <v>380</v>
      </c>
      <c r="F802" s="13"/>
      <c r="G802" s="13" t="s">
        <v>81</v>
      </c>
      <c r="H802" s="13" t="s">
        <v>14</v>
      </c>
      <c r="I802" s="13">
        <v>3</v>
      </c>
      <c r="J802" s="13">
        <v>2</v>
      </c>
      <c r="K802" s="13">
        <v>1</v>
      </c>
      <c r="L802" s="13">
        <v>2</v>
      </c>
      <c r="M802" s="13"/>
      <c r="N802" s="13"/>
      <c r="O802" s="13"/>
      <c r="P802" s="13"/>
      <c r="Q802" s="13"/>
      <c r="R802" s="13" t="s">
        <v>381</v>
      </c>
      <c r="S802" s="13" t="s">
        <v>15</v>
      </c>
    </row>
    <row r="803" spans="2:19">
      <c r="B803" s="13"/>
      <c r="C803" s="14">
        <v>247308</v>
      </c>
      <c r="D803" s="13" t="s">
        <v>211</v>
      </c>
      <c r="E803" s="13" t="s">
        <v>380</v>
      </c>
      <c r="F803" s="13"/>
      <c r="G803" s="13" t="s">
        <v>81</v>
      </c>
      <c r="H803" s="13" t="s">
        <v>14</v>
      </c>
      <c r="I803" s="13">
        <v>1</v>
      </c>
      <c r="J803" s="13">
        <v>1</v>
      </c>
      <c r="K803" s="13">
        <v>0</v>
      </c>
      <c r="L803" s="13">
        <v>2</v>
      </c>
      <c r="M803" s="13"/>
      <c r="N803" s="13"/>
      <c r="O803" s="13"/>
      <c r="P803" s="13"/>
      <c r="Q803" s="13"/>
      <c r="R803" s="13" t="s">
        <v>381</v>
      </c>
      <c r="S803" s="13" t="s">
        <v>15</v>
      </c>
    </row>
    <row r="804" spans="2:19">
      <c r="B804" s="13"/>
      <c r="C804" s="14">
        <v>247313</v>
      </c>
      <c r="D804" s="13" t="s">
        <v>211</v>
      </c>
      <c r="E804" s="13" t="s">
        <v>380</v>
      </c>
      <c r="F804" s="13"/>
      <c r="G804" s="13" t="s">
        <v>81</v>
      </c>
      <c r="H804" s="13" t="s">
        <v>14</v>
      </c>
      <c r="I804" s="13">
        <v>2</v>
      </c>
      <c r="J804" s="13">
        <v>2</v>
      </c>
      <c r="K804" s="13">
        <v>0</v>
      </c>
      <c r="L804" s="13">
        <v>2</v>
      </c>
      <c r="M804" s="13"/>
      <c r="N804" s="13"/>
      <c r="O804" s="13"/>
      <c r="P804" s="13"/>
      <c r="Q804" s="13"/>
      <c r="R804" s="13" t="s">
        <v>381</v>
      </c>
      <c r="S804" s="13" t="s">
        <v>15</v>
      </c>
    </row>
    <row r="805" spans="2:19">
      <c r="B805" s="13"/>
      <c r="C805" s="14">
        <v>247314</v>
      </c>
      <c r="D805" s="13" t="s">
        <v>211</v>
      </c>
      <c r="E805" s="13" t="s">
        <v>380</v>
      </c>
      <c r="F805" s="13"/>
      <c r="G805" s="13" t="s">
        <v>81</v>
      </c>
      <c r="H805" s="13" t="s">
        <v>14</v>
      </c>
      <c r="I805" s="13">
        <v>2</v>
      </c>
      <c r="J805" s="13">
        <v>2</v>
      </c>
      <c r="K805" s="13">
        <v>0</v>
      </c>
      <c r="L805" s="13">
        <v>2</v>
      </c>
      <c r="M805" s="13"/>
      <c r="N805" s="13"/>
      <c r="O805" s="13"/>
      <c r="P805" s="13"/>
      <c r="Q805" s="13"/>
      <c r="R805" s="13" t="s">
        <v>381</v>
      </c>
      <c r="S805" s="13" t="s">
        <v>15</v>
      </c>
    </row>
    <row r="806" spans="2:19">
      <c r="B806" s="13"/>
      <c r="C806" s="14">
        <v>247316</v>
      </c>
      <c r="D806" s="13" t="s">
        <v>211</v>
      </c>
      <c r="E806" s="13" t="s">
        <v>380</v>
      </c>
      <c r="F806" s="13"/>
      <c r="G806" s="13" t="s">
        <v>81</v>
      </c>
      <c r="H806" s="13" t="s">
        <v>14</v>
      </c>
      <c r="I806" s="13">
        <v>2</v>
      </c>
      <c r="J806" s="13">
        <v>2</v>
      </c>
      <c r="K806" s="13">
        <v>0</v>
      </c>
      <c r="L806" s="13">
        <v>2</v>
      </c>
      <c r="M806" s="13"/>
      <c r="N806" s="13"/>
      <c r="O806" s="13"/>
      <c r="P806" s="13"/>
      <c r="Q806" s="13"/>
      <c r="R806" s="13" t="s">
        <v>381</v>
      </c>
      <c r="S806" s="13" t="s">
        <v>15</v>
      </c>
    </row>
    <row r="807" spans="2:19">
      <c r="B807" s="13"/>
      <c r="C807" s="14">
        <v>247312</v>
      </c>
      <c r="D807" s="13" t="s">
        <v>211</v>
      </c>
      <c r="E807" s="13" t="s">
        <v>380</v>
      </c>
      <c r="F807" s="13"/>
      <c r="G807" s="13" t="s">
        <v>81</v>
      </c>
      <c r="H807" s="13" t="s">
        <v>14</v>
      </c>
      <c r="I807" s="13">
        <v>2</v>
      </c>
      <c r="J807" s="13">
        <v>2</v>
      </c>
      <c r="K807" s="13">
        <v>0</v>
      </c>
      <c r="L807" s="13">
        <v>2</v>
      </c>
      <c r="M807" s="13"/>
      <c r="N807" s="13"/>
      <c r="O807" s="13"/>
      <c r="P807" s="13"/>
      <c r="Q807" s="13"/>
      <c r="R807" s="13" t="s">
        <v>381</v>
      </c>
      <c r="S807" s="13" t="s">
        <v>15</v>
      </c>
    </row>
    <row r="808" spans="2:19">
      <c r="B808" s="13"/>
      <c r="C808" s="14">
        <v>247319</v>
      </c>
      <c r="D808" s="13" t="s">
        <v>211</v>
      </c>
      <c r="E808" s="13" t="s">
        <v>380</v>
      </c>
      <c r="F808" s="13"/>
      <c r="G808" s="13" t="s">
        <v>81</v>
      </c>
      <c r="H808" s="13" t="s">
        <v>14</v>
      </c>
      <c r="I808" s="13">
        <v>1</v>
      </c>
      <c r="J808" s="13">
        <v>1</v>
      </c>
      <c r="K808" s="13">
        <v>0</v>
      </c>
      <c r="L808" s="13">
        <v>2</v>
      </c>
      <c r="M808" s="13"/>
      <c r="N808" s="13"/>
      <c r="O808" s="13"/>
      <c r="P808" s="13"/>
      <c r="Q808" s="13"/>
      <c r="R808" s="13" t="s">
        <v>381</v>
      </c>
      <c r="S808" s="13" t="s">
        <v>15</v>
      </c>
    </row>
    <row r="809" spans="2:19">
      <c r="B809" s="13"/>
      <c r="C809" s="14">
        <v>247311</v>
      </c>
      <c r="D809" s="13" t="s">
        <v>211</v>
      </c>
      <c r="E809" s="13" t="s">
        <v>380</v>
      </c>
      <c r="F809" s="13"/>
      <c r="G809" s="13" t="s">
        <v>81</v>
      </c>
      <c r="H809" s="13" t="s">
        <v>14</v>
      </c>
      <c r="I809" s="13">
        <v>2</v>
      </c>
      <c r="J809" s="13">
        <v>2</v>
      </c>
      <c r="K809" s="13">
        <v>0</v>
      </c>
      <c r="L809" s="13">
        <v>2</v>
      </c>
      <c r="M809" s="13"/>
      <c r="N809" s="13"/>
      <c r="O809" s="13"/>
      <c r="P809" s="13"/>
      <c r="Q809" s="13"/>
      <c r="R809" s="13" t="s">
        <v>381</v>
      </c>
      <c r="S809" s="13" t="s">
        <v>15</v>
      </c>
    </row>
    <row r="810" spans="2:19">
      <c r="B810" s="13"/>
      <c r="C810" s="14">
        <v>262102</v>
      </c>
      <c r="D810" s="13" t="s">
        <v>211</v>
      </c>
      <c r="E810" s="13" t="s">
        <v>276</v>
      </c>
      <c r="F810" s="13"/>
      <c r="G810" s="13" t="s">
        <v>77</v>
      </c>
      <c r="H810" s="13" t="s">
        <v>14</v>
      </c>
      <c r="I810" s="13">
        <v>5</v>
      </c>
      <c r="J810" s="13">
        <v>5</v>
      </c>
      <c r="K810" s="13">
        <v>0</v>
      </c>
      <c r="L810" s="13">
        <v>2</v>
      </c>
      <c r="M810" s="13"/>
      <c r="N810" s="13"/>
      <c r="O810" s="13"/>
      <c r="P810" s="13"/>
      <c r="Q810" s="13"/>
      <c r="R810" s="13" t="s">
        <v>226</v>
      </c>
      <c r="S810" s="13" t="s">
        <v>15</v>
      </c>
    </row>
    <row r="811" spans="2:19">
      <c r="B811" s="13"/>
      <c r="C811" s="14">
        <v>260487</v>
      </c>
      <c r="D811" s="13" t="s">
        <v>211</v>
      </c>
      <c r="E811" s="13" t="s">
        <v>278</v>
      </c>
      <c r="F811" s="13"/>
      <c r="G811" s="13" t="s">
        <v>81</v>
      </c>
      <c r="H811" s="13" t="s">
        <v>14</v>
      </c>
      <c r="I811" s="13">
        <v>2</v>
      </c>
      <c r="J811" s="13">
        <v>0</v>
      </c>
      <c r="K811" s="13">
        <v>2</v>
      </c>
      <c r="L811" s="13">
        <v>2</v>
      </c>
      <c r="M811" s="13"/>
      <c r="N811" s="13"/>
      <c r="O811" s="13"/>
      <c r="P811" s="13"/>
      <c r="Q811" s="13"/>
      <c r="R811" s="13" t="s">
        <v>226</v>
      </c>
      <c r="S811" s="13" t="s">
        <v>15</v>
      </c>
    </row>
    <row r="812" spans="2:19">
      <c r="B812" s="13"/>
      <c r="C812" s="14">
        <v>263833</v>
      </c>
      <c r="D812" s="13" t="s">
        <v>211</v>
      </c>
      <c r="E812" s="13" t="s">
        <v>415</v>
      </c>
      <c r="F812" s="13"/>
      <c r="G812" s="13" t="s">
        <v>81</v>
      </c>
      <c r="H812" s="13" t="s">
        <v>14</v>
      </c>
      <c r="I812" s="13">
        <v>10</v>
      </c>
      <c r="J812" s="13">
        <v>9</v>
      </c>
      <c r="K812" s="13">
        <v>1</v>
      </c>
      <c r="L812" s="13">
        <v>2</v>
      </c>
      <c r="M812" s="13"/>
      <c r="N812" s="13"/>
      <c r="O812" s="13"/>
      <c r="P812" s="13"/>
      <c r="Q812" s="13"/>
      <c r="R812" s="13" t="s">
        <v>280</v>
      </c>
      <c r="S812" s="13" t="s">
        <v>15</v>
      </c>
    </row>
    <row r="813" spans="2:19">
      <c r="I813" s="13">
        <f t="shared" ref="I813:K813" si="2">SUM(I783:I812)</f>
        <v>97</v>
      </c>
      <c r="J813" s="13">
        <f t="shared" si="2"/>
        <v>99.5</v>
      </c>
      <c r="K813" s="13">
        <f t="shared" si="2"/>
        <v>7</v>
      </c>
    </row>
    <row r="814" spans="2:19">
      <c r="B814" s="108" t="s">
        <v>93</v>
      </c>
    </row>
    <row r="815" spans="2:19">
      <c r="B815" s="13" t="s">
        <v>26</v>
      </c>
      <c r="C815" s="13" t="s">
        <v>27</v>
      </c>
      <c r="D815" s="13" t="s">
        <v>28</v>
      </c>
      <c r="E815" s="13" t="s">
        <v>29</v>
      </c>
      <c r="F815" s="13" t="s">
        <v>31</v>
      </c>
      <c r="G815" s="13" t="s">
        <v>30</v>
      </c>
      <c r="H815" s="13" t="s">
        <v>179</v>
      </c>
      <c r="I815" s="13" t="s">
        <v>180</v>
      </c>
      <c r="J815" s="13" t="s">
        <v>181</v>
      </c>
      <c r="K815" s="13" t="s">
        <v>182</v>
      </c>
      <c r="L815" s="13" t="s">
        <v>183</v>
      </c>
      <c r="M815" s="13" t="s">
        <v>184</v>
      </c>
      <c r="N815" s="13" t="s">
        <v>185</v>
      </c>
      <c r="O815" s="13" t="s">
        <v>186</v>
      </c>
      <c r="P815" s="13" t="s">
        <v>187</v>
      </c>
      <c r="Q815" s="13" t="s">
        <v>188</v>
      </c>
      <c r="R815" s="13" t="s">
        <v>189</v>
      </c>
      <c r="S815" s="13" t="s">
        <v>190</v>
      </c>
    </row>
    <row r="816" spans="2:19">
      <c r="B816" s="13"/>
      <c r="C816" s="14">
        <v>244770</v>
      </c>
      <c r="D816" s="13" t="s">
        <v>211</v>
      </c>
      <c r="E816" s="13" t="s">
        <v>352</v>
      </c>
      <c r="F816" s="13"/>
      <c r="G816" s="13" t="s">
        <v>81</v>
      </c>
      <c r="H816" s="13" t="s">
        <v>20</v>
      </c>
      <c r="I816" s="13">
        <v>2</v>
      </c>
      <c r="J816" s="13">
        <v>2</v>
      </c>
      <c r="K816" s="13">
        <v>0</v>
      </c>
      <c r="L816" s="13">
        <v>2</v>
      </c>
      <c r="M816" s="13"/>
      <c r="N816" s="13"/>
      <c r="O816" s="13"/>
      <c r="P816" s="13"/>
      <c r="Q816" s="13" t="s">
        <v>93</v>
      </c>
      <c r="R816" s="13" t="s">
        <v>8</v>
      </c>
      <c r="S816" s="13" t="s">
        <v>8</v>
      </c>
    </row>
  </sheetData>
  <hyperlinks>
    <hyperlink ref="C7" r:id="rId1" display="https://youxelteam.visualstudio.com/CheckNow/_workitems/edit/260293/?view=edit" xr:uid="{9252075B-3616-7E41-B610-F50A9385C995}"/>
    <hyperlink ref="C8" r:id="rId2" display="https://youxelteam.visualstudio.com/CheckNow/_workitems/edit/227974/?view=edit" xr:uid="{35485BF7-C169-864C-B9E5-5CA05A771BE5}"/>
    <hyperlink ref="C9" r:id="rId3" display="https://youxelteam.visualstudio.com/CheckNow/_workitems/edit/228363/?view=edit" xr:uid="{5054B962-EAFA-1B49-B65C-C3D0ACA82E68}"/>
    <hyperlink ref="C10" r:id="rId4" display="https://youxelteam.visualstudio.com/CheckNow/_workitems/edit/228369/?view=edit" xr:uid="{7D4C3616-51A6-CF44-9CE9-1C7B28C009E0}"/>
    <hyperlink ref="C11" r:id="rId5" display="https://youxelteam.visualstudio.com/CheckNow/_workitems/edit/255494/?view=edit" xr:uid="{00AAFA9A-A178-0546-9EF8-DAD8BC4B2F51}"/>
    <hyperlink ref="C12" r:id="rId6" display="https://youxelteam.visualstudio.com/CheckNow/_workitems/edit/227974/?view=edit" xr:uid="{68AB4F6C-7A79-BF4C-95E4-6850617EC77B}"/>
    <hyperlink ref="C13" r:id="rId7" display="https://youxelteam.visualstudio.com/CheckNow/_workitems/edit/228964/?view=edit" xr:uid="{F42E7EF1-3BDC-C54B-B506-8D4268FA4BED}"/>
    <hyperlink ref="C14" r:id="rId8" display="https://youxelteam.visualstudio.com/CheckNow/_workitems/edit/228960/?view=edit" xr:uid="{3924BE87-3F13-4D40-A077-A63E135D1DF4}"/>
    <hyperlink ref="C15" r:id="rId9" display="https://youxelteam.visualstudio.com/CheckNow/_workitems/edit/228960/?view=edit" xr:uid="{1239E991-2F61-EF4B-BA70-C1777CB56532}"/>
    <hyperlink ref="C16" r:id="rId10" display="https://youxelteam.visualstudio.com/CheckNow/_workitems/edit/228960/?view=edit" xr:uid="{6571BC7A-4507-1542-BA05-488928A1DDE9}"/>
    <hyperlink ref="C17" r:id="rId11" display="https://youxelteam.visualstudio.com/CheckNow/_workitems/edit/228960/?view=edit" xr:uid="{70467E06-B7AF-BF48-B927-D5CED71159DB}"/>
    <hyperlink ref="C18" r:id="rId12" display="https://youxelteam.visualstudio.com/CheckNow/_workitems/edit/228960/?view=edit" xr:uid="{EF108559-6C39-E646-9C2F-E79643E08085}"/>
    <hyperlink ref="C19" r:id="rId13" display="https://youxelteam.visualstudio.com/CheckNow/_workitems/edit/228960/?view=edit" xr:uid="{750B9A36-DF61-E04A-9CDC-9A6BE063B5D4}"/>
    <hyperlink ref="C20" r:id="rId14" display="https://youxelteam.visualstudio.com/CheckNow/_workitems/edit/228960/?view=edit" xr:uid="{39291CA9-C1AA-3144-84B6-F95B98C7F40B}"/>
    <hyperlink ref="C21" r:id="rId15" display="https://youxelteam.visualstudio.com/CheckNow/_workitems/edit/228960/?view=edit" xr:uid="{0A8F9B32-03ED-FF48-B948-5683B49B434E}"/>
    <hyperlink ref="C22" r:id="rId16" display="https://youxelteam.visualstudio.com/CheckNow/_workitems/edit/228960/?view=edit" xr:uid="{CA402FA1-66EF-EC43-8A46-EBF3027F93D7}"/>
    <hyperlink ref="C23" r:id="rId17" display="https://youxelteam.visualstudio.com/CheckNow/_workitems/edit/228961/?view=edit" xr:uid="{BD121428-B4B9-1B4E-BDFB-B465F15C052A}"/>
    <hyperlink ref="C24" r:id="rId18" display="https://youxelteam.visualstudio.com/CheckNow/_workitems/edit/228960/?view=edit" xr:uid="{090B091C-0A82-1F46-B5F4-EC21E340B4DF}"/>
    <hyperlink ref="C25" r:id="rId19" display="https://youxelteam.visualstudio.com/CheckNow/_workitems/edit/228961/?view=edit" xr:uid="{BB1EAE2F-1E30-C14B-8707-C58705102D10}"/>
    <hyperlink ref="C26" r:id="rId20" display="https://youxelteam.visualstudio.com/CheckNow/_workitems/edit/228961/?view=edit" xr:uid="{741992D4-4456-AA44-9A24-4B512F676FC5}"/>
    <hyperlink ref="C27" r:id="rId21" display="https://youxelteam.visualstudio.com/CheckNow/_workitems/edit/241399/?view=edit" xr:uid="{618CCCC8-7C44-1044-BC26-DCCD638C5DEB}"/>
    <hyperlink ref="C28" r:id="rId22" display="https://youxelteam.visualstudio.com/CheckNow/_workitems/edit/241399/?view=edit" xr:uid="{650464D4-11D8-3B4F-BEE2-78BF93598F2B}"/>
    <hyperlink ref="C29" r:id="rId23" display="https://youxelteam.visualstudio.com/CheckNow/_workitems/edit/241399/?view=edit" xr:uid="{F78CE017-6C2A-734D-B131-A4BF0379FC4C}"/>
    <hyperlink ref="C30" r:id="rId24" display="https://youxelteam.visualstudio.com/CheckNow/_workitems/edit/195967/?view=edit" xr:uid="{EDA49F0E-27E0-A840-97CB-9AF2B5469218}"/>
    <hyperlink ref="C31" r:id="rId25" display="https://youxelteam.visualstudio.com/CheckNow/_workitems/edit/195967/?view=edit" xr:uid="{3BC83ED5-8DBD-B542-99BC-E0E63B5231C7}"/>
    <hyperlink ref="C32" r:id="rId26" display="https://youxelteam.visualstudio.com/CheckNow/_workitems/edit/195967/?view=edit" xr:uid="{58289F8E-6CD9-7F4E-823F-97658C1DC0E9}"/>
    <hyperlink ref="C33" r:id="rId27" display="https://youxelteam.visualstudio.com/CheckNow/_workitems/edit/195967/?view=edit" xr:uid="{2E48910D-E6F3-9143-BC87-90984E2AD64E}"/>
    <hyperlink ref="C34" r:id="rId28" display="https://youxelteam.visualstudio.com/CheckNow/_workitems/edit/195967/?view=edit" xr:uid="{E14D4B9D-9305-7843-8428-06B841195D08}"/>
    <hyperlink ref="C35" r:id="rId29" display="https://youxelteam.visualstudio.com/CheckNow/_workitems/edit/195968/?view=edit" xr:uid="{736A9663-E74D-0946-9C9C-CF2BF8635E8E}"/>
    <hyperlink ref="C36" r:id="rId30" display="https://youxelteam.visualstudio.com/CheckNow/_workitems/edit/195968/?view=edit" xr:uid="{33C6D62E-90CD-1947-B2DA-7C3434048214}"/>
    <hyperlink ref="C37" r:id="rId31" display="https://youxelteam.visualstudio.com/CheckNow/_workitems/edit/195968/?view=edit" xr:uid="{9D4DFE56-2FA6-5143-81D3-DBE91DF2158B}"/>
    <hyperlink ref="C38" r:id="rId32" display="https://youxelteam.visualstudio.com/CheckNow/_workitems/edit/195968/?view=edit" xr:uid="{09A03865-A77B-E240-91C6-A753532D9329}"/>
    <hyperlink ref="C39" r:id="rId33" display="https://youxelteam.visualstudio.com/CheckNow/_workitems/edit/195968/?view=edit" xr:uid="{4D837AA9-9165-7142-932A-C587FE569255}"/>
    <hyperlink ref="C40" r:id="rId34" display="https://youxelteam.visualstudio.com/CheckNow/_workitems/edit/195968/?view=edit" xr:uid="{B0A56073-1889-EE49-ABD9-9E29769B03DA}"/>
    <hyperlink ref="C41" r:id="rId35" display="https://youxelteam.visualstudio.com/CheckNow/_workitems/edit/195968/?view=edit" xr:uid="{0D98E517-90C6-0D4A-B9EB-C658D7D465E6}"/>
    <hyperlink ref="C42" r:id="rId36" display="https://youxelteam.visualstudio.com/CheckNow/_workitems/edit/195968/?view=edit" xr:uid="{6731F7FD-13F7-1C4A-977D-2E3A90949BA1}"/>
    <hyperlink ref="C43" r:id="rId37" display="https://youxelteam.visualstudio.com/CheckNow/_workitems/edit/195968/?view=edit" xr:uid="{EF096167-7EA4-844E-A7C4-7A2E8698A21E}"/>
    <hyperlink ref="C44" r:id="rId38" display="https://youxelteam.visualstudio.com/CheckNow/_workitems/edit/195968/?view=edit" xr:uid="{B5AD9378-B52E-8446-A768-E21E4BBB0B09}"/>
    <hyperlink ref="C45" r:id="rId39" display="https://youxelteam.visualstudio.com/CheckNow/_workitems/edit/195968/?view=edit" xr:uid="{52A43545-6A83-A04C-8A24-7F0271B6DD6B}"/>
    <hyperlink ref="C46" r:id="rId40" display="https://youxelteam.visualstudio.com/CheckNow/_workitems/edit/195968/?view=edit" xr:uid="{2DD6E795-0752-3842-88C2-086B35C1F4EA}"/>
    <hyperlink ref="C47" r:id="rId41" display="https://youxelteam.visualstudio.com/CheckNow/_workitems/edit/195968/?view=edit" xr:uid="{696A6607-807A-BA4F-850C-72238316D3FF}"/>
    <hyperlink ref="C48" r:id="rId42" display="https://youxelteam.visualstudio.com/CheckNow/_workitems/edit/195968/?view=edit" xr:uid="{47A4C8C7-719A-FB4A-B46F-A1C8702C9D2E}"/>
    <hyperlink ref="C49" r:id="rId43" display="https://youxelteam.visualstudio.com/CheckNow/_workitems/edit/195968/?view=edit" xr:uid="{B851FB39-E6B4-DE4A-926F-8AF9468B2BA2}"/>
    <hyperlink ref="C50" r:id="rId44" display="https://youxelteam.visualstudio.com/CheckNow/_workitems/edit/195969/?view=edit" xr:uid="{AAC3F728-195F-3944-A8FB-7631FE4ABE52}"/>
    <hyperlink ref="C51" r:id="rId45" display="https://youxelteam.visualstudio.com/CheckNow/_workitems/edit/195969/?view=edit" xr:uid="{9156A2F4-4AF9-F546-B9CE-A3429220D4B5}"/>
    <hyperlink ref="C52" r:id="rId46" display="https://youxelteam.visualstudio.com/CheckNow/_workitems/edit/195969/?view=edit" xr:uid="{84AD4EFD-2BC1-B549-91E0-120486B75512}"/>
    <hyperlink ref="C53" r:id="rId47" display="https://youxelteam.visualstudio.com/CheckNow/_workitems/edit/193289/?view=edit" xr:uid="{FE2C3D19-6FA7-D949-BF25-7B06BE81D76A}"/>
    <hyperlink ref="C54" r:id="rId48" display="https://youxelteam.visualstudio.com/CheckNow/_workitems/edit/240010/?view=edit" xr:uid="{E839CB83-3445-354B-99F7-A2FA292FAA1E}"/>
    <hyperlink ref="C55" r:id="rId49" display="https://youxelteam.visualstudio.com/CheckNow/_workitems/edit/260486/?view=edit" xr:uid="{035AC4B3-15BC-AB41-A9C3-39E4EF524F8F}"/>
    <hyperlink ref="C56" r:id="rId50" display="https://youxelteam.visualstudio.com/CheckNow/_workitems/edit/247821/?view=edit" xr:uid="{25AD372E-2999-534D-A1DC-9BDD09AEC445}"/>
    <hyperlink ref="C60" r:id="rId51" display="https://youxelteam.visualstudio.com/CheckNow/_workitems/edit/260293/?view=edit" xr:uid="{CF632FE9-AB36-E246-9030-6EF471B46355}"/>
    <hyperlink ref="C61" r:id="rId52" display="https://youxelteam.visualstudio.com/CheckNow/_workitems/edit/260177/?view=edit" xr:uid="{2EB009EA-A23D-3345-B743-A91B4F012FC0}"/>
    <hyperlink ref="C62" r:id="rId53" display="https://youxelteam.visualstudio.com/CheckNow/_workitems/edit/260177/?view=edit" xr:uid="{24DE24B0-29FF-AC48-BEE6-B0BDD6DBD3E0}"/>
    <hyperlink ref="C63" r:id="rId54" display="https://youxelteam.visualstudio.com/CheckNow/_workitems/edit/227974/?view=edit" xr:uid="{FBB4589D-8B79-E94C-8B2A-B3A01D68BE4D}"/>
    <hyperlink ref="C64" r:id="rId55" display="https://youxelteam.visualstudio.com/CheckNow/_workitems/edit/251892/?view=edit" xr:uid="{61D90119-30E2-BB40-9FBD-F11157EE11D3}"/>
    <hyperlink ref="C65" r:id="rId56" display="https://youxelteam.visualstudio.com/CheckNow/_workitems/edit/251892/?view=edit" xr:uid="{ABA82441-975D-1D47-93C0-802F71E6CA7A}"/>
    <hyperlink ref="C66" r:id="rId57" display="https://youxelteam.visualstudio.com/CheckNow/_workitems/edit/228363/?view=edit" xr:uid="{73ECBE39-1BD0-A748-A331-EBAA88213982}"/>
    <hyperlink ref="C67" r:id="rId58" display="https://youxelteam.visualstudio.com/CheckNow/_workitems/edit/233816/?view=edit" xr:uid="{C505E261-BCEA-6442-B8CC-BBC6733F9E7F}"/>
    <hyperlink ref="C68" r:id="rId59" display="https://youxelteam.visualstudio.com/CheckNow/_workitems/edit/228369/?view=edit" xr:uid="{91220BF3-FB01-D740-95DE-3329C29BEDC3}"/>
    <hyperlink ref="C69" r:id="rId60" display="https://youxelteam.visualstudio.com/CheckNow/_workitems/edit/233934/?view=edit" xr:uid="{9F17FB1A-FCC4-2743-A951-95AD316B2CAE}"/>
    <hyperlink ref="C70" r:id="rId61" display="https://youxelteam.visualstudio.com/CheckNow/_workitems/edit/255494/?view=edit" xr:uid="{5E2AA4B8-D79B-934F-B5AB-802AC77ABE16}"/>
    <hyperlink ref="C71" r:id="rId62" display="https://youxelteam.visualstudio.com/CheckNow/_workitems/edit/255495/?view=edit" xr:uid="{4C8ADD73-3B83-6148-9791-A5050EE158B8}"/>
    <hyperlink ref="C72" r:id="rId63" display="https://youxelteam.visualstudio.com/CheckNow/_workitems/edit/255495/?view=edit" xr:uid="{11F496C0-D5D2-8A41-BA80-657003D2ACAC}"/>
    <hyperlink ref="C73" r:id="rId64" display="https://youxelteam.visualstudio.com/CheckNow/_workitems/edit/227974/?view=edit" xr:uid="{02F9B1C2-F739-E547-B2C3-0BCF7FDDD827}"/>
    <hyperlink ref="C74" r:id="rId65" display="https://youxelteam.visualstudio.com/CheckNow/_workitems/edit/250832/?view=edit" xr:uid="{4CBC69CD-03B7-9B48-85F5-4AF1B884368C}"/>
    <hyperlink ref="C75" r:id="rId66" display="https://youxelteam.visualstudio.com/CheckNow/_workitems/edit/250832/?view=edit" xr:uid="{D692D943-351D-4748-A40F-C5F9F7077EBE}"/>
    <hyperlink ref="C76" r:id="rId67" display="https://youxelteam.visualstudio.com/CheckNow/_workitems/edit/250832/?view=edit" xr:uid="{1AD27921-51C8-3243-AB37-661B81C50508}"/>
    <hyperlink ref="C77" r:id="rId68" display="https://youxelteam.visualstudio.com/CheckNow/_workitems/edit/250832/?view=edit" xr:uid="{948DEA41-E262-194E-9EE3-F4D977F93703}"/>
    <hyperlink ref="C78" r:id="rId69" display="https://youxelteam.visualstudio.com/CheckNow/_workitems/edit/250832/?view=edit" xr:uid="{47D19952-350C-5149-9FC7-738D5879D64C}"/>
    <hyperlink ref="C79" r:id="rId70" display="https://youxelteam.visualstudio.com/CheckNow/_workitems/edit/250832/?view=edit" xr:uid="{60BDF72F-C4A7-7B40-B317-08C0CC9636C4}"/>
    <hyperlink ref="C80" r:id="rId71" display="https://youxelteam.visualstudio.com/CheckNow/_workitems/edit/250832/?view=edit" xr:uid="{66D115DF-96C1-664B-85FD-27F41D0F7407}"/>
    <hyperlink ref="C81" r:id="rId72" display="https://youxelteam.visualstudio.com/CheckNow/_workitems/edit/250832/?view=edit" xr:uid="{FBC41158-3A95-B242-95CF-C3E89356065C}"/>
    <hyperlink ref="C82" r:id="rId73" display="https://youxelteam.visualstudio.com/CheckNow/_workitems/edit/250832/?view=edit" xr:uid="{F0FDDB51-1C8B-C444-9DA7-B1EF46A38158}"/>
    <hyperlink ref="C83" r:id="rId74" display="https://youxelteam.visualstudio.com/CheckNow/_workitems/edit/250832/?view=edit" xr:uid="{5E2FCF17-A3B9-A747-A89C-48A82E3E00BA}"/>
    <hyperlink ref="C84" r:id="rId75" display="https://youxelteam.visualstudio.com/CheckNow/_workitems/edit/250832/?view=edit" xr:uid="{2169945F-743B-1E41-BEDE-E240FFBAD202}"/>
    <hyperlink ref="C85" r:id="rId76" display="https://youxelteam.visualstudio.com/CheckNow/_workitems/edit/250832/?view=edit" xr:uid="{FB72AAEB-D1B2-3C42-BBE2-D11C59853115}"/>
    <hyperlink ref="C86" r:id="rId77" display="https://youxelteam.visualstudio.com/CheckNow/_workitems/edit/250832/?view=edit" xr:uid="{D5DD316A-9076-C04B-9EC2-F9B86419CE82}"/>
    <hyperlink ref="C87" r:id="rId78" display="https://youxelteam.visualstudio.com/CheckNow/_workitems/edit/250832/?view=edit" xr:uid="{680633E4-C5F0-E142-AE18-3CFD4E07A072}"/>
    <hyperlink ref="C88" r:id="rId79" display="https://youxelteam.visualstudio.com/CheckNow/_workitems/edit/250832/?view=edit" xr:uid="{5320EC9A-C5A2-A54D-940E-B3B3CD96593E}"/>
    <hyperlink ref="C89" r:id="rId80" display="https://youxelteam.visualstudio.com/CheckNow/_workitems/edit/250832/?view=edit" xr:uid="{F18C75C8-ACF2-0643-8DB2-3AB3A3175D35}"/>
    <hyperlink ref="C90" r:id="rId81" display="https://youxelteam.visualstudio.com/CheckNow/_workitems/edit/250832/?view=edit" xr:uid="{3F2379E5-858D-5648-A289-A7841A8FFC05}"/>
    <hyperlink ref="C91" r:id="rId82" display="https://youxelteam.visualstudio.com/CheckNow/_workitems/edit/250832/?view=edit" xr:uid="{D572DDF7-205E-D247-AE10-AE0687C09054}"/>
    <hyperlink ref="C92" r:id="rId83" display="https://youxelteam.visualstudio.com/CheckNow/_workitems/edit/250832/?view=edit" xr:uid="{126EB230-39E7-F14A-A008-E268EF19D87B}"/>
    <hyperlink ref="C93" r:id="rId84" display="https://youxelteam.visualstudio.com/CheckNow/_workitems/edit/250832/?view=edit" xr:uid="{C4937D6D-04FF-C34A-9FCB-9316EEE79285}"/>
    <hyperlink ref="C94" r:id="rId85" display="https://youxelteam.visualstudio.com/CheckNow/_workitems/edit/250832/?view=edit" xr:uid="{C63E98C1-E14A-144E-B8F4-F1A1DC75123C}"/>
    <hyperlink ref="C95" r:id="rId86" display="https://youxelteam.visualstudio.com/CheckNow/_workitems/edit/250832/?view=edit" xr:uid="{7CBC1ED7-5010-9D4F-B535-AEB2CD8DA6D9}"/>
    <hyperlink ref="C96" r:id="rId87" display="https://youxelteam.visualstudio.com/CheckNow/_workitems/edit/250832/?view=edit" xr:uid="{74AE4B05-F7F0-414C-A409-8EFF892D1C36}"/>
    <hyperlink ref="C97" r:id="rId88" display="https://youxelteam.visualstudio.com/CheckNow/_workitems/edit/250832/?view=edit" xr:uid="{0D043D34-5DEB-A941-BE0B-3A68BA7A2661}"/>
    <hyperlink ref="C98" r:id="rId89" display="https://youxelteam.visualstudio.com/CheckNow/_workitems/edit/250832/?view=edit" xr:uid="{195845F0-F4B0-944C-9965-67880AC8D205}"/>
    <hyperlink ref="C99" r:id="rId90" display="https://youxelteam.visualstudio.com/CheckNow/_workitems/edit/228964/?view=edit" xr:uid="{9F27C10F-75D5-194A-A8D2-B978EFB55520}"/>
    <hyperlink ref="C100" r:id="rId91" display="https://youxelteam.visualstudio.com/CheckNow/_workitems/edit/228960/?view=edit" xr:uid="{AA0F4BD7-E417-F74B-AF49-C6012FAAD430}"/>
    <hyperlink ref="C101" r:id="rId92" display="https://youxelteam.visualstudio.com/CheckNow/_workitems/edit/242628/?view=edit" xr:uid="{325E7EF8-ECDF-5045-8737-A9F5D2A6FFED}"/>
    <hyperlink ref="C102" r:id="rId93" display="https://youxelteam.visualstudio.com/CheckNow/_workitems/edit/242628/?view=edit" xr:uid="{4943979C-CD69-2242-8161-1EF42B14EFBF}"/>
    <hyperlink ref="C103" r:id="rId94" display="https://youxelteam.visualstudio.com/CheckNow/_workitems/edit/242628/?view=edit" xr:uid="{B5E10885-1200-474D-9650-74204E7BEA46}"/>
    <hyperlink ref="C104" r:id="rId95" display="https://youxelteam.visualstudio.com/CheckNow/_workitems/edit/242628/?view=edit" xr:uid="{19602A46-8CA2-AC47-B22A-6C1243603B40}"/>
    <hyperlink ref="C105" r:id="rId96" display="https://youxelteam.visualstudio.com/CheckNow/_workitems/edit/242628/?view=edit" xr:uid="{409AE993-5460-0E4E-B5EE-4620F0724CBD}"/>
    <hyperlink ref="C106" r:id="rId97" display="https://youxelteam.visualstudio.com/CheckNow/_workitems/edit/242628/?view=edit" xr:uid="{A20BC3D6-87D4-CC43-AD88-572BCD3C9CD0}"/>
    <hyperlink ref="C107" r:id="rId98" display="https://youxelteam.visualstudio.com/CheckNow/_workitems/edit/242628/?view=edit" xr:uid="{B7A23242-35A8-5941-BB55-CB9D0FB63D65}"/>
    <hyperlink ref="C108" r:id="rId99" display="https://youxelteam.visualstudio.com/CheckNow/_workitems/edit/228960/?view=edit" xr:uid="{E8585D43-4076-7746-AD91-C8F3229CFB57}"/>
    <hyperlink ref="C109" r:id="rId100" display="https://youxelteam.visualstudio.com/CheckNow/_workitems/edit/247747/?view=edit" xr:uid="{F4B2FE4B-3962-8147-A7AC-27CA5549FF94}"/>
    <hyperlink ref="C110" r:id="rId101" display="https://youxelteam.visualstudio.com/CheckNow/_workitems/edit/247747/?view=edit" xr:uid="{D671DBAC-6438-CA48-939B-1B4D015A9A42}"/>
    <hyperlink ref="C111" r:id="rId102" display="https://youxelteam.visualstudio.com/CheckNow/_workitems/edit/228960/?view=edit" xr:uid="{58B3C761-56C5-214D-9C3F-D9531022B19E}"/>
    <hyperlink ref="C112" r:id="rId103" display="https://youxelteam.visualstudio.com/CheckNow/_workitems/edit/247748/?view=edit" xr:uid="{E9A0493C-C534-7644-81E0-7B7616ED30EE}"/>
    <hyperlink ref="C113" r:id="rId104" display="https://youxelteam.visualstudio.com/CheckNow/_workitems/edit/247748/?view=edit" xr:uid="{2AA36A74-E4A5-F942-9AFF-60EA6B7DB146}"/>
    <hyperlink ref="C114" r:id="rId105" display="https://youxelteam.visualstudio.com/CheckNow/_workitems/edit/228960/?view=edit" xr:uid="{B8BBF8D8-80E0-FB4A-9579-B0AE74020027}"/>
    <hyperlink ref="C115" r:id="rId106" display="https://youxelteam.visualstudio.com/CheckNow/_workitems/edit/244767/?view=edit" xr:uid="{6FFBA677-98F9-F549-8BAD-7EF14CD3E1B9}"/>
    <hyperlink ref="C116" r:id="rId107" display="https://youxelteam.visualstudio.com/CheckNow/_workitems/edit/244767/?view=edit" xr:uid="{DC9ADDF0-0B4C-834E-B72D-B20D86D91C0D}"/>
    <hyperlink ref="C117" r:id="rId108" display="https://youxelteam.visualstudio.com/CheckNow/_workitems/edit/244767/?view=edit" xr:uid="{CF7D721C-2B23-304F-AB3E-56B574D9D3AC}"/>
    <hyperlink ref="C118" r:id="rId109" display="https://youxelteam.visualstudio.com/CheckNow/_workitems/edit/244767/?view=edit" xr:uid="{1A592F87-81DB-E746-B104-964D0F2F99D4}"/>
    <hyperlink ref="C119" r:id="rId110" display="https://youxelteam.visualstudio.com/CheckNow/_workitems/edit/244767/?view=edit" xr:uid="{403071F4-3747-5945-9D1C-8DE4903172C8}"/>
    <hyperlink ref="C120" r:id="rId111" display="https://youxelteam.visualstudio.com/CheckNow/_workitems/edit/244767/?view=edit" xr:uid="{9D61A06A-2503-0241-B0EE-CB5C7D00BE79}"/>
    <hyperlink ref="C121" r:id="rId112" display="https://youxelteam.visualstudio.com/CheckNow/_workitems/edit/244767/?view=edit" xr:uid="{3BD00C33-8872-374D-BB94-5FB50128B690}"/>
    <hyperlink ref="C122" r:id="rId113" display="https://youxelteam.visualstudio.com/CheckNow/_workitems/edit/244767/?view=edit" xr:uid="{6C2CC498-F573-294B-BC45-DA66D9CA1BA6}"/>
    <hyperlink ref="C123" r:id="rId114" display="https://youxelteam.visualstudio.com/CheckNow/_workitems/edit/228960/?view=edit" xr:uid="{DD56156B-241E-E247-9DA1-8653758B2047}"/>
    <hyperlink ref="C124" r:id="rId115" display="https://youxelteam.visualstudio.com/CheckNow/_workitems/edit/244764/?view=edit" xr:uid="{387EBD9C-CED4-E740-B4B2-A405C5701A5E}"/>
    <hyperlink ref="C125" r:id="rId116" display="https://youxelteam.visualstudio.com/CheckNow/_workitems/edit/244764/?view=edit" xr:uid="{0D9E3471-C7F6-0944-ACBA-6B0799DAF177}"/>
    <hyperlink ref="C126" r:id="rId117" display="https://youxelteam.visualstudio.com/CheckNow/_workitems/edit/228960/?view=edit" xr:uid="{089EE074-2482-BC4A-8062-0680AEB381A0}"/>
    <hyperlink ref="C127" r:id="rId118" display="https://youxelteam.visualstudio.com/CheckNow/_workitems/edit/244770/?view=edit" xr:uid="{91053EBC-8327-244F-B79D-21A7EA384058}"/>
    <hyperlink ref="C128" r:id="rId119" display="https://youxelteam.visualstudio.com/CheckNow/_workitems/edit/244770/?view=edit" xr:uid="{8C7A205C-BCC6-DD4B-8FBB-2DFF61ADF8E2}"/>
    <hyperlink ref="C129" r:id="rId120" display="https://youxelteam.visualstudio.com/CheckNow/_workitems/edit/228960/?view=edit" xr:uid="{8BAF492E-81D7-244D-9874-F0D1BE1A6CF6}"/>
    <hyperlink ref="C130" r:id="rId121" display="https://youxelteam.visualstudio.com/CheckNow/_workitems/edit/242629/?view=edit" xr:uid="{D20291A8-5AAC-7040-94B8-F0F9DEA39D6B}"/>
    <hyperlink ref="C131" r:id="rId122" display="https://youxelteam.visualstudio.com/CheckNow/_workitems/edit/242629/?view=edit" xr:uid="{315FB956-8912-1047-8E28-0965490009F4}"/>
    <hyperlink ref="C132" r:id="rId123" display="https://youxelteam.visualstudio.com/CheckNow/_workitems/edit/242629/?view=edit" xr:uid="{57EC04BF-2FD6-4E4A-A2BC-B8B831DE05E3}"/>
    <hyperlink ref="C133" r:id="rId124" display="https://youxelteam.visualstudio.com/CheckNow/_workitems/edit/242629/?view=edit" xr:uid="{729EE444-7EFA-AA41-99A5-76F7D0F020D8}"/>
    <hyperlink ref="C134" r:id="rId125" display="https://youxelteam.visualstudio.com/CheckNow/_workitems/edit/228960/?view=edit" xr:uid="{89CEE2ED-DC81-524E-9FEA-69138BA61840}"/>
    <hyperlink ref="C135" r:id="rId126" display="https://youxelteam.visualstudio.com/CheckNow/_workitems/edit/244768/?view=edit" xr:uid="{C0D80416-EB83-A44C-B633-96AEA588CE15}"/>
    <hyperlink ref="C136" r:id="rId127" display="https://youxelteam.visualstudio.com/CheckNow/_workitems/edit/244768/?view=edit" xr:uid="{2D6B13B9-C70C-3946-9844-17190A5C2AA5}"/>
    <hyperlink ref="C137" r:id="rId128" display="https://youxelteam.visualstudio.com/CheckNow/_workitems/edit/244768/?view=edit" xr:uid="{EF183DE1-D2AE-7747-B50C-B130B28ABA8C}"/>
    <hyperlink ref="C138" r:id="rId129" display="https://youxelteam.visualstudio.com/CheckNow/_workitems/edit/244768/?view=edit" xr:uid="{97258839-99C3-3247-9B2C-444D24873F27}"/>
    <hyperlink ref="C139" r:id="rId130" display="https://youxelteam.visualstudio.com/CheckNow/_workitems/edit/244768/?view=edit" xr:uid="{4B05A704-5056-4245-A5E8-093F396AB57B}"/>
    <hyperlink ref="C140" r:id="rId131" display="https://youxelteam.visualstudio.com/CheckNow/_workitems/edit/244768/?view=edit" xr:uid="{8748BB90-D862-504D-A104-56C40DF47653}"/>
    <hyperlink ref="C141" r:id="rId132" display="https://youxelteam.visualstudio.com/CheckNow/_workitems/edit/244768/?view=edit" xr:uid="{7B8F7AF3-7998-F345-9597-FF0F0B9C738C}"/>
    <hyperlink ref="C142" r:id="rId133" display="https://youxelteam.visualstudio.com/CheckNow/_workitems/edit/244768/?view=edit" xr:uid="{054487C1-8213-B64F-8173-F8BAA5A1CB26}"/>
    <hyperlink ref="C143" r:id="rId134" display="https://youxelteam.visualstudio.com/CheckNow/_workitems/edit/244768/?view=edit" xr:uid="{971545BE-D53C-FE40-943A-B2805230D8FF}"/>
    <hyperlink ref="C144" r:id="rId135" display="https://youxelteam.visualstudio.com/CheckNow/_workitems/edit/228960/?view=edit" xr:uid="{BC5525B0-6B0C-604C-A268-0D4F53BEF7CF}"/>
    <hyperlink ref="C145" r:id="rId136" display="https://youxelteam.visualstudio.com/CheckNow/_workitems/edit/244772/?view=edit" xr:uid="{B53A97C1-0C25-444F-92CF-38F8702AF7DE}"/>
    <hyperlink ref="C146" r:id="rId137" display="https://youxelteam.visualstudio.com/CheckNow/_workitems/edit/244772/?view=edit" xr:uid="{8C556C53-6254-934F-82A0-2ABACD76617A}"/>
    <hyperlink ref="C147" r:id="rId138" display="https://youxelteam.visualstudio.com/CheckNow/_workitems/edit/228961/?view=edit" xr:uid="{50F1DEDB-17BD-754A-9CB6-FF0F4DA9C483}"/>
    <hyperlink ref="C148" r:id="rId139" display="https://youxelteam.visualstudio.com/CheckNow/_workitems/edit/244756/?view=edit" xr:uid="{013344E5-B180-9B45-BB71-432F46A66116}"/>
    <hyperlink ref="C149" r:id="rId140" display="https://youxelteam.visualstudio.com/CheckNow/_workitems/edit/244756/?view=edit" xr:uid="{35B16B4E-F23D-C143-A2C2-DE59A7830AD7}"/>
    <hyperlink ref="C150" r:id="rId141" display="https://youxelteam.visualstudio.com/CheckNow/_workitems/edit/244756/?view=edit" xr:uid="{148C85A5-EED1-4C44-8367-0AFFA4FD5FB6}"/>
    <hyperlink ref="C151" r:id="rId142" display="https://youxelteam.visualstudio.com/CheckNow/_workitems/edit/228960/?view=edit" xr:uid="{997BF001-CEB3-084C-B212-CCF03BE5F5E4}"/>
    <hyperlink ref="C152" r:id="rId143" display="https://youxelteam.visualstudio.com/CheckNow/_workitems/edit/244761/?view=edit" xr:uid="{435BE040-CA74-9941-980E-BB16DF79D23E}"/>
    <hyperlink ref="C153" r:id="rId144" display="https://youxelteam.visualstudio.com/CheckNow/_workitems/edit/244761/?view=edit" xr:uid="{5DFF847B-DB8E-D849-AB4E-5B763AE35DFA}"/>
    <hyperlink ref="C154" r:id="rId145" display="https://youxelteam.visualstudio.com/CheckNow/_workitems/edit/244761/?view=edit" xr:uid="{714003B4-6CFB-7241-9EC0-7C41F82C552B}"/>
    <hyperlink ref="C155" r:id="rId146" display="https://youxelteam.visualstudio.com/CheckNow/_workitems/edit/244761/?view=edit" xr:uid="{AA486B36-C8B8-CF45-A421-7BC0C3956CD4}"/>
    <hyperlink ref="C156" r:id="rId147" display="https://youxelteam.visualstudio.com/CheckNow/_workitems/edit/244761/?view=edit" xr:uid="{CA6FC8AD-94A7-0A4F-8040-50E4DED6D0F6}"/>
    <hyperlink ref="C157" r:id="rId148" display="https://youxelteam.visualstudio.com/CheckNow/_workitems/edit/244761/?view=edit" xr:uid="{40AC6BEC-2A7C-AF4D-A9BF-035D8B43D6C7}"/>
    <hyperlink ref="C158" r:id="rId149" display="https://youxelteam.visualstudio.com/CheckNow/_workitems/edit/228961/?view=edit" xr:uid="{B39E664D-2404-1B44-88AA-F9029E94BEF0}"/>
    <hyperlink ref="C159" r:id="rId150" display="https://youxelteam.visualstudio.com/CheckNow/_workitems/edit/244757/?view=edit" xr:uid="{28EBDAE0-D331-5C44-A5BD-7CC81C81C594}"/>
    <hyperlink ref="C160" r:id="rId151" display="https://youxelteam.visualstudio.com/CheckNow/_workitems/edit/244757/?view=edit" xr:uid="{1D4DD604-326E-3541-8C38-4513AA873DA5}"/>
    <hyperlink ref="C161" r:id="rId152" display="https://youxelteam.visualstudio.com/CheckNow/_workitems/edit/228961/?view=edit" xr:uid="{9C9FEA0B-5143-F740-80E1-788C50EAF37C}"/>
    <hyperlink ref="C162" r:id="rId153" display="https://youxelteam.visualstudio.com/CheckNow/_workitems/edit/244758/?view=edit" xr:uid="{CB301187-9575-6447-8C31-6E8A1BD34277}"/>
    <hyperlink ref="C163" r:id="rId154" display="https://youxelteam.visualstudio.com/CheckNow/_workitems/edit/244758/?view=edit" xr:uid="{840232D3-782F-DC4F-8BF8-B07B25906965}"/>
    <hyperlink ref="C164" r:id="rId155" display="https://youxelteam.visualstudio.com/CheckNow/_workitems/edit/244758/?view=edit" xr:uid="{1AF11BC1-FC71-1945-83C1-1599F4BE8440}"/>
    <hyperlink ref="C165" r:id="rId156" display="https://youxelteam.visualstudio.com/CheckNow/_workitems/edit/241399/?view=edit" xr:uid="{41BF5170-52FC-9D49-92AE-04E6D73738B8}"/>
    <hyperlink ref="C166" r:id="rId157" display="https://youxelteam.visualstudio.com/CheckNow/_workitems/edit/263534/?view=edit" xr:uid="{71B9314A-37FD-E44F-B8E0-E625E1B670B7}"/>
    <hyperlink ref="C167" r:id="rId158" display="https://youxelteam.visualstudio.com/CheckNow/_workitems/edit/263534/?view=edit" xr:uid="{CDA579DD-F18F-E04F-9951-8E1AA342ABCF}"/>
    <hyperlink ref="C168" r:id="rId159" display="https://youxelteam.visualstudio.com/CheckNow/_workitems/edit/263534/?view=edit" xr:uid="{A33CC001-E668-5F49-9BAD-5FF45164B4E4}"/>
    <hyperlink ref="C169" r:id="rId160" display="https://youxelteam.visualstudio.com/CheckNow/_workitems/edit/241399/?view=edit" xr:uid="{4409D31D-92B3-1B4B-B162-EE8C05AD40CC}"/>
    <hyperlink ref="C170" r:id="rId161" display="https://youxelteam.visualstudio.com/CheckNow/_workitems/edit/263834/?view=edit" xr:uid="{B9D734EA-9FD1-FF47-883B-91A592929920}"/>
    <hyperlink ref="C171" r:id="rId162" display="https://youxelteam.visualstudio.com/CheckNow/_workitems/edit/263834/?view=edit" xr:uid="{BC7DACD0-0C22-9E41-8E3C-BDBF23EC825D}"/>
    <hyperlink ref="C172" r:id="rId163" display="https://youxelteam.visualstudio.com/CheckNow/_workitems/edit/263834/?view=edit" xr:uid="{3C939BBA-5D09-C342-BC74-6CC3A6B7C7EC}"/>
    <hyperlink ref="C173" r:id="rId164" display="https://youxelteam.visualstudio.com/CheckNow/_workitems/edit/263834/?view=edit" xr:uid="{A5520F78-29CE-7E42-82DF-788A1801C04C}"/>
    <hyperlink ref="C174" r:id="rId165" display="https://youxelteam.visualstudio.com/CheckNow/_workitems/edit/241399/?view=edit" xr:uid="{42BD027D-6A64-794B-92B2-293215D1C609}"/>
    <hyperlink ref="C175" r:id="rId166" display="https://youxelteam.visualstudio.com/CheckNow/_workitems/edit/264506/?view=edit" xr:uid="{4254E4B4-327E-D24B-B50E-D61F77ABA605}"/>
    <hyperlink ref="C176" r:id="rId167" display="https://youxelteam.visualstudio.com/CheckNow/_workitems/edit/264506/?view=edit" xr:uid="{5EE443FB-DF3F-9242-A819-4538D6D207FD}"/>
    <hyperlink ref="C177" r:id="rId168" display="https://youxelteam.visualstudio.com/CheckNow/_workitems/edit/195967/?view=edit" xr:uid="{D15E3156-590A-864A-BFA0-37397A14F774}"/>
    <hyperlink ref="C178" r:id="rId169" display="https://youxelteam.visualstudio.com/CheckNow/_workitems/edit/247302/?view=edit" xr:uid="{FD79E700-9B65-4F4D-9AD9-0AB0132EF5C3}"/>
    <hyperlink ref="C179" r:id="rId170" display="https://youxelteam.visualstudio.com/CheckNow/_workitems/edit/247302/?view=edit" xr:uid="{8E0CA52E-495D-FC4B-A3B8-7360FD2A792A}"/>
    <hyperlink ref="C180" r:id="rId171" display="https://youxelteam.visualstudio.com/CheckNow/_workitems/edit/195967/?view=edit" xr:uid="{ED21687D-F856-FE46-93F4-4780CCBF0F73}"/>
    <hyperlink ref="C181" r:id="rId172" display="https://youxelteam.visualstudio.com/CheckNow/_workitems/edit/253676/?view=edit" xr:uid="{61D04AE7-E0D0-AD41-A18D-AF045AE76189}"/>
    <hyperlink ref="C182" r:id="rId173" display="https://youxelteam.visualstudio.com/CheckNow/_workitems/edit/253676/?view=edit" xr:uid="{CF89A035-6549-3544-8809-8C0D77320D77}"/>
    <hyperlink ref="C183" r:id="rId174" display="https://youxelteam.visualstudio.com/CheckNow/_workitems/edit/253676/?view=edit" xr:uid="{1A3696BD-30F9-A14A-BEB4-B1A45697CAE0}"/>
    <hyperlink ref="C184" r:id="rId175" display="https://youxelteam.visualstudio.com/CheckNow/_workitems/edit/253676/?view=edit" xr:uid="{2FA07FBB-8B3F-DB41-8684-4007FA97E4A7}"/>
    <hyperlink ref="C185" r:id="rId176" display="https://youxelteam.visualstudio.com/CheckNow/_workitems/edit/195967/?view=edit" xr:uid="{09B96439-4134-9644-B77C-0811BF425567}"/>
    <hyperlink ref="C186" r:id="rId177" display="https://youxelteam.visualstudio.com/CheckNow/_workitems/edit/247303/?view=edit" xr:uid="{6A366D86-3392-1542-A0E7-7097E4D79A3E}"/>
    <hyperlink ref="C187" r:id="rId178" display="https://youxelteam.visualstudio.com/CheckNow/_workitems/edit/195967/?view=edit" xr:uid="{1AFAAB52-D4B5-1A4B-95AB-1E21EE04E675}"/>
    <hyperlink ref="C188" r:id="rId179" display="https://youxelteam.visualstudio.com/CheckNow/_workitems/edit/247304/?view=edit" xr:uid="{33B9FB10-CEB9-E746-9D2C-C29978E1CE7D}"/>
    <hyperlink ref="C189" r:id="rId180" display="https://youxelteam.visualstudio.com/CheckNow/_workitems/edit/195967/?view=edit" xr:uid="{B6AFB15C-C64B-9143-8CE9-BF7C2D169620}"/>
    <hyperlink ref="C190" r:id="rId181" display="https://youxelteam.visualstudio.com/CheckNow/_workitems/edit/247305/?view=edit" xr:uid="{3AA88A62-7EAC-374A-B557-4D9712A329D8}"/>
    <hyperlink ref="C191" r:id="rId182" display="https://youxelteam.visualstudio.com/CheckNow/_workitems/edit/195968/?view=edit" xr:uid="{BD77AE83-3CA5-2A4D-932B-5A21396A38F8}"/>
    <hyperlink ref="C192" r:id="rId183" display="https://youxelteam.visualstudio.com/CheckNow/_workitems/edit/247306/?view=edit" xr:uid="{077101DF-7AD9-B14B-B21B-3DF70C4E8A11}"/>
    <hyperlink ref="C193" r:id="rId184" display="https://youxelteam.visualstudio.com/CheckNow/_workitems/edit/195968/?view=edit" xr:uid="{9C5AAB04-B44C-794E-85F3-C0C380611D40}"/>
    <hyperlink ref="C194" r:id="rId185" display="https://youxelteam.visualstudio.com/CheckNow/_workitems/edit/247322/?view=edit" xr:uid="{D6D319DC-C238-EB41-B9D9-049CF22A1457}"/>
    <hyperlink ref="C195" r:id="rId186" display="https://youxelteam.visualstudio.com/CheckNow/_workitems/edit/195968/?view=edit" xr:uid="{804F9248-6FC9-824A-B9C4-C152BF649135}"/>
    <hyperlink ref="C196" r:id="rId187" display="https://youxelteam.visualstudio.com/CheckNow/_workitems/edit/247321/?view=edit" xr:uid="{EA93FDC6-E2FF-CB45-B2A6-1B10CAAFFB17}"/>
    <hyperlink ref="C197" r:id="rId188" display="https://youxelteam.visualstudio.com/CheckNow/_workitems/edit/195968/?view=edit" xr:uid="{42B960A3-FFD9-0A40-8638-7797E2C59C68}"/>
    <hyperlink ref="C198" r:id="rId189" display="https://youxelteam.visualstudio.com/CheckNow/_workitems/edit/247324/?view=edit" xr:uid="{B2C0C093-56C7-A34B-98EC-A50AABE5D1CF}"/>
    <hyperlink ref="C199" r:id="rId190" display="https://youxelteam.visualstudio.com/CheckNow/_workitems/edit/195968/?view=edit" xr:uid="{7320C314-30AD-EF46-B6B3-51C4728A60EA}"/>
    <hyperlink ref="C200" r:id="rId191" display="https://youxelteam.visualstudio.com/CheckNow/_workitems/edit/247323/?view=edit" xr:uid="{5E539575-F358-E840-8906-201BCB366691}"/>
    <hyperlink ref="C201" r:id="rId192" display="https://youxelteam.visualstudio.com/CheckNow/_workitems/edit/195968/?view=edit" xr:uid="{5A0F2B4C-F184-3740-9D4F-3B34D67C173A}"/>
    <hyperlink ref="C202" r:id="rId193" display="https://youxelteam.visualstudio.com/CheckNow/_workitems/edit/247308/?view=edit" xr:uid="{81A0FC4D-6420-694B-8EB4-6556AA62C9B1}"/>
    <hyperlink ref="C203" r:id="rId194" display="https://youxelteam.visualstudio.com/CheckNow/_workitems/edit/195968/?view=edit" xr:uid="{A3F73BC6-AA10-804B-82C3-5687F2D789F3}"/>
    <hyperlink ref="C204" r:id="rId195" display="https://youxelteam.visualstudio.com/CheckNow/_workitems/edit/247315/?view=edit" xr:uid="{ACDA9C4A-B778-1A4E-827B-03639C3A6470}"/>
    <hyperlink ref="C205" r:id="rId196" display="https://youxelteam.visualstudio.com/CheckNow/_workitems/edit/195968/?view=edit" xr:uid="{93F1C614-AB83-2546-998C-A0D1E5F21594}"/>
    <hyperlink ref="C206" r:id="rId197" display="https://youxelteam.visualstudio.com/CheckNow/_workitems/edit/247313/?view=edit" xr:uid="{573403E2-3A5B-DB44-9C60-1DEEAFFC2E39}"/>
    <hyperlink ref="C207" r:id="rId198" display="https://youxelteam.visualstudio.com/CheckNow/_workitems/edit/195968/?view=edit" xr:uid="{4D682165-9DD4-C04F-8DBF-43A353741532}"/>
    <hyperlink ref="C208" r:id="rId199" display="https://youxelteam.visualstudio.com/CheckNow/_workitems/edit/247314/?view=edit" xr:uid="{3FB2579B-EC23-B048-987E-FD2487DD0AB2}"/>
    <hyperlink ref="C209" r:id="rId200" display="https://youxelteam.visualstudio.com/CheckNow/_workitems/edit/195968/?view=edit" xr:uid="{E4536260-D3A8-AE48-B264-0066555444EC}"/>
    <hyperlink ref="C210" r:id="rId201" display="https://youxelteam.visualstudio.com/CheckNow/_workitems/edit/247316/?view=edit" xr:uid="{2C133A9B-74C5-004E-8925-86512D2754DD}"/>
    <hyperlink ref="C211" r:id="rId202" display="https://youxelteam.visualstudio.com/CheckNow/_workitems/edit/195968/?view=edit" xr:uid="{B3043AD5-6A8B-694C-88CE-F45A171FEDB7}"/>
    <hyperlink ref="C212" r:id="rId203" display="https://youxelteam.visualstudio.com/CheckNow/_workitems/edit/247312/?view=edit" xr:uid="{2236C753-B430-014E-976A-9A697BB5C9BA}"/>
    <hyperlink ref="C213" r:id="rId204" display="https://youxelteam.visualstudio.com/CheckNow/_workitems/edit/247312/?view=edit" xr:uid="{2C328712-2CF9-A942-954C-A84729FDE1EF}"/>
    <hyperlink ref="C214" r:id="rId205" display="https://youxelteam.visualstudio.com/CheckNow/_workitems/edit/195968/?view=edit" xr:uid="{6B7911EE-B061-9F4B-966D-2E446722B2E1}"/>
    <hyperlink ref="C215" r:id="rId206" display="https://youxelteam.visualstudio.com/CheckNow/_workitems/edit/195968/?view=edit" xr:uid="{810D7854-D817-E841-AC6D-6B9FAAF21A83}"/>
    <hyperlink ref="C216" r:id="rId207" display="https://youxelteam.visualstudio.com/CheckNow/_workitems/edit/247310/?view=edit" xr:uid="{066970E0-75AE-2E4E-B306-3D946AF5D875}"/>
    <hyperlink ref="C217" r:id="rId208" display="https://youxelteam.visualstudio.com/CheckNow/_workitems/edit/247310/?view=edit" xr:uid="{4A1C8E1F-EDF7-0240-9560-2ECA22B1F01F}"/>
    <hyperlink ref="C218" r:id="rId209" display="https://youxelteam.visualstudio.com/CheckNow/_workitems/edit/247310/?view=edit" xr:uid="{1509E4D5-9E6A-2747-8103-CD4A146A60E3}"/>
    <hyperlink ref="C219" r:id="rId210" display="https://youxelteam.visualstudio.com/CheckNow/_workitems/edit/195968/?view=edit" xr:uid="{1C9AB33D-772D-CF43-A835-170AFA849581}"/>
    <hyperlink ref="C220" r:id="rId211" display="https://youxelteam.visualstudio.com/CheckNow/_workitems/edit/247319/?view=edit" xr:uid="{F2F46477-DCBA-6C4F-AAD9-90DFEAB706AE}"/>
    <hyperlink ref="C221" r:id="rId212" display="https://youxelteam.visualstudio.com/CheckNow/_workitems/edit/195968/?view=edit" xr:uid="{BB14208D-F519-8545-BBA3-D34295665D0A}"/>
    <hyperlink ref="C222" r:id="rId213" display="https://youxelteam.visualstudio.com/CheckNow/_workitems/edit/247311/?view=edit" xr:uid="{0EC546BB-7BBF-2240-870B-2500FF047A9C}"/>
    <hyperlink ref="C223" r:id="rId214" display="https://youxelteam.visualstudio.com/CheckNow/_workitems/edit/195969/?view=edit" xr:uid="{CBA62408-C63D-E547-98ED-E6BE629DE882}"/>
    <hyperlink ref="C224" r:id="rId215" display="https://youxelteam.visualstudio.com/CheckNow/_workitems/edit/252836/?view=edit" xr:uid="{1AC4A492-6B3F-5B42-BCC1-E18644C8F9A6}"/>
    <hyperlink ref="C225" r:id="rId216" display="https://youxelteam.visualstudio.com/CheckNow/_workitems/edit/252836/?view=edit" xr:uid="{9D69F6A7-5A98-DF46-9A9C-09030B8E7273}"/>
    <hyperlink ref="C226" r:id="rId217" display="https://youxelteam.visualstudio.com/CheckNow/_workitems/edit/252836/?view=edit" xr:uid="{58B675AD-3AA2-B248-9738-5BB1A4F32420}"/>
    <hyperlink ref="C227" r:id="rId218" display="https://youxelteam.visualstudio.com/CheckNow/_workitems/edit/252836/?view=edit" xr:uid="{3D21E2D2-B97B-1B40-931F-C4C95B1FF052}"/>
    <hyperlink ref="C228" r:id="rId219" display="https://youxelteam.visualstudio.com/CheckNow/_workitems/edit/195969/?view=edit" xr:uid="{EA7A898D-884F-7E46-A1F3-D3CEFB8953E5}"/>
    <hyperlink ref="C229" r:id="rId220" display="https://youxelteam.visualstudio.com/CheckNow/_workitems/edit/264492/?view=edit" xr:uid="{4C32A974-903E-8742-B431-8D8219E5FF87}"/>
    <hyperlink ref="C230" r:id="rId221" display="https://youxelteam.visualstudio.com/CheckNow/_workitems/edit/264492/?view=edit" xr:uid="{CA780CFE-9E5A-9743-9785-435E1E5E1569}"/>
    <hyperlink ref="C231" r:id="rId222" display="https://youxelteam.visualstudio.com/CheckNow/_workitems/edit/264492/?view=edit" xr:uid="{B004FA0F-3B99-524E-8A5B-809BF3C86975}"/>
    <hyperlink ref="C232" r:id="rId223" display="https://youxelteam.visualstudio.com/CheckNow/_workitems/edit/264492/?view=edit" xr:uid="{CF325050-1BDB-AB4D-8B9E-FEAB886FDCED}"/>
    <hyperlink ref="C233" r:id="rId224" display="https://youxelteam.visualstudio.com/CheckNow/_workitems/edit/264492/?view=edit" xr:uid="{D81E1594-F588-DE4D-9BEE-D0C6435671AE}"/>
    <hyperlink ref="C234" r:id="rId225" display="https://youxelteam.visualstudio.com/CheckNow/_workitems/edit/264492/?view=edit" xr:uid="{70A745C6-901F-EB49-BF39-97CF2C8E187B}"/>
    <hyperlink ref="C235" r:id="rId226" display="https://youxelteam.visualstudio.com/CheckNow/_workitems/edit/195969/?view=edit" xr:uid="{959A118E-E3B4-B14B-9100-CA65FCE4CFBC}"/>
    <hyperlink ref="C236" r:id="rId227" display="https://youxelteam.visualstudio.com/CheckNow/_workitems/edit/264494/?view=edit" xr:uid="{50A27113-95AF-BC4F-AE79-4110239A9FCC}"/>
    <hyperlink ref="C237" r:id="rId228" display="https://youxelteam.visualstudio.com/CheckNow/_workitems/edit/264494/?view=edit" xr:uid="{E190BAE3-54CD-C24A-94BF-40A48C119186}"/>
    <hyperlink ref="C238" r:id="rId229" display="https://youxelteam.visualstudio.com/CheckNow/_workitems/edit/193289/?view=edit" xr:uid="{807B6003-32F2-CC46-A031-06C2031AA0C7}"/>
    <hyperlink ref="C239" r:id="rId230" display="https://youxelteam.visualstudio.com/CheckNow/_workitems/edit/252825/?view=edit" xr:uid="{53467DB3-4CEE-3A4A-94F4-C630960753B0}"/>
    <hyperlink ref="C240" r:id="rId231" display="https://youxelteam.visualstudio.com/CheckNow/_workitems/edit/252825/?view=edit" xr:uid="{A8410B93-55AD-8745-B145-F87CCAB184EE}"/>
    <hyperlink ref="C241" r:id="rId232" display="https://youxelteam.visualstudio.com/CheckNow/_workitems/edit/252825/?view=edit" xr:uid="{3C90AEC7-F57B-544A-A4C2-ED14DE36F6C1}"/>
    <hyperlink ref="C242" r:id="rId233" display="https://youxelteam.visualstudio.com/CheckNow/_workitems/edit/252825/?view=edit" xr:uid="{63024C5E-2D87-9E4E-80CE-A11D193FB067}"/>
    <hyperlink ref="C243" r:id="rId234" display="https://youxelteam.visualstudio.com/CheckNow/_workitems/edit/252825/?view=edit" xr:uid="{B170B4D7-875F-0C4A-A46D-B04A8B68B292}"/>
    <hyperlink ref="C244" r:id="rId235" display="https://youxelteam.visualstudio.com/CheckNow/_workitems/edit/252825/?view=edit" xr:uid="{9B561A3E-2EF1-B545-9DE9-7B4760A0A298}"/>
    <hyperlink ref="C245" r:id="rId236" display="https://youxelteam.visualstudio.com/CheckNow/_workitems/edit/252825/?view=edit" xr:uid="{A4E0086E-97D0-FD40-826A-C94B5E6AE94B}"/>
    <hyperlink ref="C246" r:id="rId237" display="https://youxelteam.visualstudio.com/CheckNow/_workitems/edit/252825/?view=edit" xr:uid="{B7A19C73-91A1-9449-9652-43FFD9045FB3}"/>
    <hyperlink ref="C247" r:id="rId238" display="https://youxelteam.visualstudio.com/CheckNow/_workitems/edit/252825/?view=edit" xr:uid="{C4D1033F-E0BC-7B48-9FEC-3903F9028620}"/>
    <hyperlink ref="C248" r:id="rId239" display="https://youxelteam.visualstudio.com/CheckNow/_workitems/edit/252825/?view=edit" xr:uid="{FA7D9CAF-B4AA-454B-9B03-857A9ED0A50D}"/>
    <hyperlink ref="C249" r:id="rId240" display="https://youxelteam.visualstudio.com/CheckNow/_workitems/edit/252825/?view=edit" xr:uid="{29F6CF45-2566-CD46-A88B-8F03776B1FE8}"/>
    <hyperlink ref="C250" r:id="rId241" display="https://youxelteam.visualstudio.com/CheckNow/_workitems/edit/252825/?view=edit" xr:uid="{08CD0844-3231-6949-B981-F79FCA073562}"/>
    <hyperlink ref="C251" r:id="rId242" display="https://youxelteam.visualstudio.com/CheckNow/_workitems/edit/252825/?view=edit" xr:uid="{EEE5FDAA-78BF-6B4A-80D9-C75E0A0E157D}"/>
    <hyperlink ref="C252" r:id="rId243" display="https://youxelteam.visualstudio.com/CheckNow/_workitems/edit/252825/?view=edit" xr:uid="{A88A5E52-C70B-544B-BEEC-E9BA58E0462D}"/>
    <hyperlink ref="C253" r:id="rId244" display="https://youxelteam.visualstudio.com/CheckNow/_workitems/edit/252825/?view=edit" xr:uid="{5BA97402-B19D-964F-A7BC-9058C8989CE0}"/>
    <hyperlink ref="C254" r:id="rId245" display="https://youxelteam.visualstudio.com/CheckNow/_workitems/edit/252825/?view=edit" xr:uid="{E6E3D7E1-2D1C-3C45-9EC2-EA0B71931133}"/>
    <hyperlink ref="C255" r:id="rId246" display="https://youxelteam.visualstudio.com/CheckNow/_workitems/edit/252825/?view=edit" xr:uid="{64010BA1-7370-304F-B3CF-D57D6C155C7D}"/>
    <hyperlink ref="C256" r:id="rId247" display="https://youxelteam.visualstudio.com/CheckNow/_workitems/edit/252825/?view=edit" xr:uid="{254497C7-C49D-B243-8D70-574DF5C9F335}"/>
    <hyperlink ref="C257" r:id="rId248" display="https://youxelteam.visualstudio.com/CheckNow/_workitems/edit/252825/?view=edit" xr:uid="{5635F3AF-4DB9-B04A-B4C1-3BD4F5E1E339}"/>
    <hyperlink ref="C258" r:id="rId249" display="https://youxelteam.visualstudio.com/CheckNow/_workitems/edit/252825/?view=edit" xr:uid="{42AF3927-3939-014E-961A-ED6A4DDBBAA8}"/>
    <hyperlink ref="C259" r:id="rId250" display="https://youxelteam.visualstudio.com/CheckNow/_workitems/edit/252825/?view=edit" xr:uid="{ACF48F20-388E-944B-9F87-470F1C3A361E}"/>
    <hyperlink ref="C260" r:id="rId251" display="https://youxelteam.visualstudio.com/CheckNow/_workitems/edit/252825/?view=edit" xr:uid="{17AA8288-EB93-5B4D-9BDD-22724F4E71A5}"/>
    <hyperlink ref="C261" r:id="rId252" display="https://youxelteam.visualstudio.com/CheckNow/_workitems/edit/252825/?view=edit" xr:uid="{A4E14BA2-1EF5-2146-AAD7-BDF2E4E83D1E}"/>
    <hyperlink ref="C262" r:id="rId253" display="https://youxelteam.visualstudio.com/CheckNow/_workitems/edit/252825/?view=edit" xr:uid="{5152D340-0E3E-314C-84A5-46870E99EA52}"/>
    <hyperlink ref="C263" r:id="rId254" display="https://youxelteam.visualstudio.com/CheckNow/_workitems/edit/252825/?view=edit" xr:uid="{4D596729-B689-D94A-88D0-61B03DAC10D0}"/>
    <hyperlink ref="C264" r:id="rId255" display="https://youxelteam.visualstudio.com/CheckNow/_workitems/edit/252825/?view=edit" xr:uid="{D9547BAE-1140-BA48-BE0E-7C7469AADB26}"/>
    <hyperlink ref="C265" r:id="rId256" display="https://youxelteam.visualstudio.com/CheckNow/_workitems/edit/252825/?view=edit" xr:uid="{A06AA033-D2FB-2841-B930-E4773EA6D8FB}"/>
    <hyperlink ref="C266" r:id="rId257" display="https://youxelteam.visualstudio.com/CheckNow/_workitems/edit/252825/?view=edit" xr:uid="{EF4C9974-88CC-FC45-85B7-ECC431672793}"/>
    <hyperlink ref="C267" r:id="rId258" display="https://youxelteam.visualstudio.com/CheckNow/_workitems/edit/252825/?view=edit" xr:uid="{1F16BDB3-8842-F244-8FFC-8E731D47085E}"/>
    <hyperlink ref="C268" r:id="rId259" display="https://youxelteam.visualstudio.com/CheckNow/_workitems/edit/240010/?view=edit" xr:uid="{FEDABE17-3723-7B44-950D-F9B18D421D4C}"/>
    <hyperlink ref="C269" r:id="rId260" display="https://youxelteam.visualstudio.com/CheckNow/_workitems/edit/262102/?view=edit" xr:uid="{5B2BA91F-93B6-3A46-A3E1-886D46A1D534}"/>
    <hyperlink ref="C270" r:id="rId261" display="https://youxelteam.visualstudio.com/CheckNow/_workitems/edit/260486/?view=edit" xr:uid="{1D9C0EAE-7409-6648-B2EA-FA6A2A90B414}"/>
    <hyperlink ref="C271" r:id="rId262" display="https://youxelteam.visualstudio.com/CheckNow/_workitems/edit/260487/?view=edit" xr:uid="{7B43B02A-977B-E845-B9B9-8DFA5970D8E5}"/>
    <hyperlink ref="C272" r:id="rId263" display="https://youxelteam.visualstudio.com/CheckNow/_workitems/edit/247821/?view=edit" xr:uid="{41310EE9-822C-0846-8EA9-49566AA2DABC}"/>
    <hyperlink ref="C273" r:id="rId264" display="https://youxelteam.visualstudio.com/CheckNow/_workitems/edit/263833/?view=edit" xr:uid="{4021DDCE-9097-2545-8F8D-6C28050437FE}"/>
    <hyperlink ref="C274" r:id="rId265" display="https://youxelteam.visualstudio.com/CheckNow/_workitems/edit/263833/?view=edit" xr:uid="{6B87ECDC-A60C-004C-950B-107325C0DCC0}"/>
    <hyperlink ref="C275" r:id="rId266" display="https://youxelteam.visualstudio.com/CheckNow/_workitems/edit/263833/?view=edit" xr:uid="{06B40BF5-627B-2C48-ADB5-323C0DC5E867}"/>
    <hyperlink ref="C276" r:id="rId267" display="https://youxelteam.visualstudio.com/CheckNow/_workitems/edit/263833/?view=edit" xr:uid="{155204D8-8E16-C344-8E64-0287C04829A6}"/>
    <hyperlink ref="C277" r:id="rId268" display="https://youxelteam.visualstudio.com/CheckNow/_workitems/edit/263833/?view=edit" xr:uid="{8988D9E2-20F6-2646-B4B1-142CA66F4954}"/>
    <hyperlink ref="C278" r:id="rId269" display="https://youxelteam.visualstudio.com/CheckNow/_workitems/edit/263833/?view=edit" xr:uid="{F07D889C-ECDF-724C-B1EF-D6A4E0F8033D}"/>
    <hyperlink ref="C279" r:id="rId270" display="https://youxelteam.visualstudio.com/CheckNow/_workitems/edit/263833/?view=edit" xr:uid="{2683A394-11BB-A548-9C23-445570DCF225}"/>
    <hyperlink ref="C280" r:id="rId271" display="https://youxelteam.visualstudio.com/CheckNow/_workitems/edit/263833/?view=edit" xr:uid="{466C2AB2-DB82-134B-8A0B-687A2A3EFF07}"/>
    <hyperlink ref="C281" r:id="rId272" display="https://youxelteam.visualstudio.com/CheckNow/_workitems/edit/263833/?view=edit" xr:uid="{BAA2A5FA-47FD-BA4D-94DD-12B0C83F664D}"/>
    <hyperlink ref="C285" r:id="rId273" display="https://youxelteam.visualstudio.com/CheckNow/_workitems/edit/260177/?view=edit" xr:uid="{8983D602-B778-0941-B6D8-E72CA7F410CD}"/>
    <hyperlink ref="C286" r:id="rId274" display="https://youxelteam.visualstudio.com/CheckNow/_workitems/edit/260177/?view=edit" xr:uid="{208C3D72-2557-0446-96AE-1C2EA9357DCD}"/>
    <hyperlink ref="C287" r:id="rId275" display="https://youxelteam.visualstudio.com/CheckNow/_workitems/edit/251892/?view=edit" xr:uid="{1E53C4E8-C848-6145-B05E-0F0AC2E62FA7}"/>
    <hyperlink ref="C288" r:id="rId276" display="https://youxelteam.visualstudio.com/CheckNow/_workitems/edit/251892/?view=edit" xr:uid="{99A92328-17DC-F746-9D3B-A65232E67AEB}"/>
    <hyperlink ref="C289" r:id="rId277" display="https://youxelteam.visualstudio.com/CheckNow/_workitems/edit/233816/?view=edit" xr:uid="{6703F7B0-1DDF-1745-91F0-299C92013F49}"/>
    <hyperlink ref="C290" r:id="rId278" display="https://youxelteam.visualstudio.com/CheckNow/_workitems/edit/233934/?view=edit" xr:uid="{0342F7E3-EA25-5A41-A55A-90A4004DCA12}"/>
    <hyperlink ref="C291" r:id="rId279" display="https://youxelteam.visualstudio.com/CheckNow/_workitems/edit/255495/?view=edit" xr:uid="{FB292785-A931-664C-A56D-869A1A95A1D8}"/>
    <hyperlink ref="C292" r:id="rId280" display="https://youxelteam.visualstudio.com/CheckNow/_workitems/edit/255495/?view=edit" xr:uid="{E9AC01FB-A57C-6F45-B615-8D3E49E6A4C2}"/>
    <hyperlink ref="C293" r:id="rId281" display="https://youxelteam.visualstudio.com/CheckNow/_workitems/edit/250832/?view=edit" xr:uid="{650C6965-1F92-2342-AAC8-BB0A29C0340D}"/>
    <hyperlink ref="C294" r:id="rId282" display="https://youxelteam.visualstudio.com/CheckNow/_workitems/edit/250832/?view=edit" xr:uid="{13D093B2-8E4C-094B-AC48-39247B25B8A9}"/>
    <hyperlink ref="C295" r:id="rId283" display="https://youxelteam.visualstudio.com/CheckNow/_workitems/edit/250832/?view=edit" xr:uid="{4AEEA7C8-46C4-C24D-9AB4-034AFD95EF9B}"/>
    <hyperlink ref="C296" r:id="rId284" display="https://youxelteam.visualstudio.com/CheckNow/_workitems/edit/250832/?view=edit" xr:uid="{33173789-E8BF-7840-8625-ED509CF76F7C}"/>
    <hyperlink ref="C297" r:id="rId285" display="https://youxelteam.visualstudio.com/CheckNow/_workitems/edit/250832/?view=edit" xr:uid="{78DD5E69-7D89-1240-BA1B-DDEE64DE831D}"/>
    <hyperlink ref="C298" r:id="rId286" display="https://youxelteam.visualstudio.com/CheckNow/_workitems/edit/250832/?view=edit" xr:uid="{446574D2-8AB7-2845-8448-D41660EB3E98}"/>
    <hyperlink ref="C299" r:id="rId287" display="https://youxelteam.visualstudio.com/CheckNow/_workitems/edit/250832/?view=edit" xr:uid="{6D9C1476-0334-0946-84A4-E7FCFA009256}"/>
    <hyperlink ref="C300" r:id="rId288" display="https://youxelteam.visualstudio.com/CheckNow/_workitems/edit/250832/?view=edit" xr:uid="{478687EE-6E2A-3640-B3D0-E2A9B2B22D03}"/>
    <hyperlink ref="C301" r:id="rId289" display="https://youxelteam.visualstudio.com/CheckNow/_workitems/edit/250832/?view=edit" xr:uid="{102F36F7-8F20-6547-B873-68A117F9127A}"/>
    <hyperlink ref="C302" r:id="rId290" display="https://youxelteam.visualstudio.com/CheckNow/_workitems/edit/250832/?view=edit" xr:uid="{3482D8B8-1D21-6340-B763-7B051FAAA6EF}"/>
    <hyperlink ref="C303" r:id="rId291" display="https://youxelteam.visualstudio.com/CheckNow/_workitems/edit/250832/?view=edit" xr:uid="{8549F24D-D86F-BC44-91A8-51570DFC869F}"/>
    <hyperlink ref="C304" r:id="rId292" display="https://youxelteam.visualstudio.com/CheckNow/_workitems/edit/250832/?view=edit" xr:uid="{6BF193F7-FD73-DB4A-8E8A-79D5C554AB0B}"/>
    <hyperlink ref="C305" r:id="rId293" display="https://youxelteam.visualstudio.com/CheckNow/_workitems/edit/250832/?view=edit" xr:uid="{DB608211-584A-3B44-84AC-90FFD8E435B9}"/>
    <hyperlink ref="C306" r:id="rId294" display="https://youxelteam.visualstudio.com/CheckNow/_workitems/edit/250832/?view=edit" xr:uid="{8C562543-E194-4644-A2B1-54AAE3674B66}"/>
    <hyperlink ref="C307" r:id="rId295" display="https://youxelteam.visualstudio.com/CheckNow/_workitems/edit/250832/?view=edit" xr:uid="{CC3676A7-A67C-3C44-9FE4-350181352B58}"/>
    <hyperlink ref="C308" r:id="rId296" display="https://youxelteam.visualstudio.com/CheckNow/_workitems/edit/250832/?view=edit" xr:uid="{C508506F-1DD7-9E47-B620-A7F5771F5876}"/>
    <hyperlink ref="C309" r:id="rId297" display="https://youxelteam.visualstudio.com/CheckNow/_workitems/edit/250832/?view=edit" xr:uid="{C500A05E-04B4-5245-A679-A1745196F9C9}"/>
    <hyperlink ref="C310" r:id="rId298" display="https://youxelteam.visualstudio.com/CheckNow/_workitems/edit/250832/?view=edit" xr:uid="{9CCE6454-D41C-F449-B83C-EAAABC95CFE0}"/>
    <hyperlink ref="C311" r:id="rId299" display="https://youxelteam.visualstudio.com/CheckNow/_workitems/edit/250832/?view=edit" xr:uid="{996A2565-3A8B-E54F-A385-81F7646943D4}"/>
    <hyperlink ref="C312" r:id="rId300" display="https://youxelteam.visualstudio.com/CheckNow/_workitems/edit/250832/?view=edit" xr:uid="{EBF41243-0AC0-BB41-A2DF-0BC2901FAC6B}"/>
    <hyperlink ref="C313" r:id="rId301" display="https://youxelteam.visualstudio.com/CheckNow/_workitems/edit/250832/?view=edit" xr:uid="{41968607-7D64-FA47-A392-9CCECA0F0D2C}"/>
    <hyperlink ref="C314" r:id="rId302" display="https://youxelteam.visualstudio.com/CheckNow/_workitems/edit/250832/?view=edit" xr:uid="{1EF391CB-2D32-884D-BFFB-1DAB5B786019}"/>
    <hyperlink ref="C315" r:id="rId303" display="https://youxelteam.visualstudio.com/CheckNow/_workitems/edit/250832/?view=edit" xr:uid="{0B23C95C-CB45-8342-8173-1C380E61DAA2}"/>
    <hyperlink ref="C316" r:id="rId304" display="https://youxelteam.visualstudio.com/CheckNow/_workitems/edit/250832/?view=edit" xr:uid="{2AB91566-CA2E-FD47-B2F3-5693E1DD2617}"/>
    <hyperlink ref="C317" r:id="rId305" display="https://youxelteam.visualstudio.com/CheckNow/_workitems/edit/250832/?view=edit" xr:uid="{39A2A36C-4E45-8942-AF39-2547C57F009F}"/>
    <hyperlink ref="C318" r:id="rId306" display="https://youxelteam.visualstudio.com/CheckNow/_workitems/edit/242628/?view=edit" xr:uid="{8F0CAD29-2232-BC49-AC2C-156BB73B5BF2}"/>
    <hyperlink ref="C319" r:id="rId307" display="https://youxelteam.visualstudio.com/CheckNow/_workitems/edit/242628/?view=edit" xr:uid="{0267B74D-3BC1-B34E-BDBF-B3AA49EB9FE6}"/>
    <hyperlink ref="C320" r:id="rId308" display="https://youxelteam.visualstudio.com/CheckNow/_workitems/edit/242628/?view=edit" xr:uid="{6389BBB4-E070-4148-8917-6E6EC2780C19}"/>
    <hyperlink ref="C321" r:id="rId309" display="https://youxelteam.visualstudio.com/CheckNow/_workitems/edit/242628/?view=edit" xr:uid="{A0B1B04B-7D50-EB48-92BE-21593DED0CCE}"/>
    <hyperlink ref="C322" r:id="rId310" display="https://youxelteam.visualstudio.com/CheckNow/_workitems/edit/242628/?view=edit" xr:uid="{C1119B84-2D1C-9D47-8C03-A00BFA390910}"/>
    <hyperlink ref="C323" r:id="rId311" display="https://youxelteam.visualstudio.com/CheckNow/_workitems/edit/242628/?view=edit" xr:uid="{EE167994-599C-E34B-8F2D-44CC9B9DC24A}"/>
    <hyperlink ref="C324" r:id="rId312" display="https://youxelteam.visualstudio.com/CheckNow/_workitems/edit/242628/?view=edit" xr:uid="{971AB79F-896C-0C43-8179-CDCD471A2308}"/>
    <hyperlink ref="C325" r:id="rId313" display="https://youxelteam.visualstudio.com/CheckNow/_workitems/edit/247747/?view=edit" xr:uid="{3A19E338-3AEF-8E48-89BA-94EA05BC524F}"/>
    <hyperlink ref="C326" r:id="rId314" display="https://youxelteam.visualstudio.com/CheckNow/_workitems/edit/247747/?view=edit" xr:uid="{D9436A4E-045C-2C49-8E2C-DFCD9C57A45E}"/>
    <hyperlink ref="C327" r:id="rId315" display="https://youxelteam.visualstudio.com/CheckNow/_workitems/edit/247748/?view=edit" xr:uid="{7EAA0040-E5F3-3041-BEF4-327313992C6E}"/>
    <hyperlink ref="C328" r:id="rId316" display="https://youxelteam.visualstudio.com/CheckNow/_workitems/edit/247748/?view=edit" xr:uid="{0A45633E-BBEF-F743-8473-47C0A1703F99}"/>
    <hyperlink ref="C329" r:id="rId317" display="https://youxelteam.visualstudio.com/CheckNow/_workitems/edit/244767/?view=edit" xr:uid="{384E7889-E79C-BF45-B651-8452B2E414AF}"/>
    <hyperlink ref="C330" r:id="rId318" display="https://youxelteam.visualstudio.com/CheckNow/_workitems/edit/244767/?view=edit" xr:uid="{D589CFBC-75ED-3744-8243-2F79F0CAEE34}"/>
    <hyperlink ref="C331" r:id="rId319" display="https://youxelteam.visualstudio.com/CheckNow/_workitems/edit/244767/?view=edit" xr:uid="{6C56EE5E-DBB5-4547-A04A-80B7CD8CB003}"/>
    <hyperlink ref="C332" r:id="rId320" display="https://youxelteam.visualstudio.com/CheckNow/_workitems/edit/244767/?view=edit" xr:uid="{0A76B7D6-0A1A-5B4D-ADAB-3EE5750F8B96}"/>
    <hyperlink ref="C333" r:id="rId321" display="https://youxelteam.visualstudio.com/CheckNow/_workitems/edit/244767/?view=edit" xr:uid="{26C0C541-78D8-8544-A52E-3C6855301DBB}"/>
    <hyperlink ref="C334" r:id="rId322" display="https://youxelteam.visualstudio.com/CheckNow/_workitems/edit/244767/?view=edit" xr:uid="{9CAE17E5-4C1E-FB48-99AF-A8289C41BE2A}"/>
    <hyperlink ref="C335" r:id="rId323" display="https://youxelteam.visualstudio.com/CheckNow/_workitems/edit/244767/?view=edit" xr:uid="{8521CEC3-D61B-BB40-BDA8-1FA9E2B66EED}"/>
    <hyperlink ref="C336" r:id="rId324" display="https://youxelteam.visualstudio.com/CheckNow/_workitems/edit/244767/?view=edit" xr:uid="{28F8A976-F61B-4A4C-AE90-6CEFBD5E485A}"/>
    <hyperlink ref="C337" r:id="rId325" display="https://youxelteam.visualstudio.com/CheckNow/_workitems/edit/244764/?view=edit" xr:uid="{0BF9D663-B083-524D-938D-6C0CB74A4FB2}"/>
    <hyperlink ref="C338" r:id="rId326" display="https://youxelteam.visualstudio.com/CheckNow/_workitems/edit/244764/?view=edit" xr:uid="{C6F201D3-AE9B-1343-A603-6ABBFFDCF339}"/>
    <hyperlink ref="C339" r:id="rId327" display="https://youxelteam.visualstudio.com/CheckNow/_workitems/edit/244770/?view=edit" xr:uid="{9B9383FD-5E4F-314C-B9FD-65F5E650956F}"/>
    <hyperlink ref="C340" r:id="rId328" display="https://youxelteam.visualstudio.com/CheckNow/_workitems/edit/244770/?view=edit" xr:uid="{F0462150-3C9A-3544-B2D6-D7D4CD1333EA}"/>
    <hyperlink ref="C341" r:id="rId329" display="https://youxelteam.visualstudio.com/CheckNow/_workitems/edit/242629/?view=edit" xr:uid="{41319B13-8C82-B747-8847-3757A08E1481}"/>
    <hyperlink ref="C342" r:id="rId330" display="https://youxelteam.visualstudio.com/CheckNow/_workitems/edit/242629/?view=edit" xr:uid="{0B4B7F23-D143-7942-9921-5B925CD1BF09}"/>
    <hyperlink ref="C343" r:id="rId331" display="https://youxelteam.visualstudio.com/CheckNow/_workitems/edit/242629/?view=edit" xr:uid="{B15BE73D-6F9F-3944-9560-2F676EE6040F}"/>
    <hyperlink ref="C344" r:id="rId332" display="https://youxelteam.visualstudio.com/CheckNow/_workitems/edit/242629/?view=edit" xr:uid="{398CF498-1C2A-5C4D-8699-D9F09F8F861F}"/>
    <hyperlink ref="C345" r:id="rId333" display="https://youxelteam.visualstudio.com/CheckNow/_workitems/edit/244768/?view=edit" xr:uid="{EC2B1FE5-FFA7-B848-8C00-7A8E6806ADD2}"/>
    <hyperlink ref="C346" r:id="rId334" display="https://youxelteam.visualstudio.com/CheckNow/_workitems/edit/244768/?view=edit" xr:uid="{CC6A9D5E-2EFF-FD4D-BCE6-1AB7F71C40A4}"/>
    <hyperlink ref="C347" r:id="rId335" display="https://youxelteam.visualstudio.com/CheckNow/_workitems/edit/244768/?view=edit" xr:uid="{653079F0-4DEE-EB48-97D6-0EF26F4654D7}"/>
    <hyperlink ref="C348" r:id="rId336" display="https://youxelteam.visualstudio.com/CheckNow/_workitems/edit/244768/?view=edit" xr:uid="{D987589B-D12E-FE4D-9D2C-9BDF091A33E8}"/>
    <hyperlink ref="C349" r:id="rId337" display="https://youxelteam.visualstudio.com/CheckNow/_workitems/edit/244768/?view=edit" xr:uid="{79E1A8BC-6607-F540-A7F5-5345413E2395}"/>
    <hyperlink ref="C350" r:id="rId338" display="https://youxelteam.visualstudio.com/CheckNow/_workitems/edit/244768/?view=edit" xr:uid="{5FE908EE-DB0E-F541-917B-8C03BEC0A5EC}"/>
    <hyperlink ref="C351" r:id="rId339" display="https://youxelteam.visualstudio.com/CheckNow/_workitems/edit/244768/?view=edit" xr:uid="{2C852710-EED7-C04C-A51E-9F79B3FD2382}"/>
    <hyperlink ref="C352" r:id="rId340" display="https://youxelteam.visualstudio.com/CheckNow/_workitems/edit/244768/?view=edit" xr:uid="{0415C9A3-8D69-1648-94B6-6C2C755EA6AB}"/>
    <hyperlink ref="C353" r:id="rId341" display="https://youxelteam.visualstudio.com/CheckNow/_workitems/edit/244768/?view=edit" xr:uid="{37280BBE-1760-C54E-917B-8D5F6FBBCA6C}"/>
    <hyperlink ref="C354" r:id="rId342" display="https://youxelteam.visualstudio.com/CheckNow/_workitems/edit/244772/?view=edit" xr:uid="{54236C8C-08F8-3D42-9EFC-EE1CFA03A750}"/>
    <hyperlink ref="C355" r:id="rId343" display="https://youxelteam.visualstudio.com/CheckNow/_workitems/edit/244772/?view=edit" xr:uid="{6DFC3FFC-2D50-C142-B968-8D39A335BDBF}"/>
    <hyperlink ref="C356" r:id="rId344" display="https://youxelteam.visualstudio.com/CheckNow/_workitems/edit/244756/?view=edit" xr:uid="{60945A25-E3D5-1C47-9216-AED8ACED8915}"/>
    <hyperlink ref="C357" r:id="rId345" display="https://youxelteam.visualstudio.com/CheckNow/_workitems/edit/244756/?view=edit" xr:uid="{F0E25CF2-0850-E449-B9F1-094A7B7711C4}"/>
    <hyperlink ref="C358" r:id="rId346" display="https://youxelteam.visualstudio.com/CheckNow/_workitems/edit/244756/?view=edit" xr:uid="{B9ACEBD1-E406-FF44-8C88-A5092186226B}"/>
    <hyperlink ref="C359" r:id="rId347" display="https://youxelteam.visualstudio.com/CheckNow/_workitems/edit/244761/?view=edit" xr:uid="{8B0892EF-7F17-6546-BA95-81B91A9704CD}"/>
    <hyperlink ref="C360" r:id="rId348" display="https://youxelteam.visualstudio.com/CheckNow/_workitems/edit/244761/?view=edit" xr:uid="{9854BC1B-1704-6F48-B63F-122F4D44D97A}"/>
    <hyperlink ref="C361" r:id="rId349" display="https://youxelteam.visualstudio.com/CheckNow/_workitems/edit/244761/?view=edit" xr:uid="{5CE975AF-1667-BB4D-B586-BD1CFCF5FEB9}"/>
    <hyperlink ref="C362" r:id="rId350" display="https://youxelteam.visualstudio.com/CheckNow/_workitems/edit/244761/?view=edit" xr:uid="{F9E050C5-0AA6-6E47-8197-08A4D3622E45}"/>
    <hyperlink ref="C363" r:id="rId351" display="https://youxelteam.visualstudio.com/CheckNow/_workitems/edit/244761/?view=edit" xr:uid="{66D51A20-EE25-F04B-92F2-711FE07FD73E}"/>
    <hyperlink ref="C364" r:id="rId352" display="https://youxelteam.visualstudio.com/CheckNow/_workitems/edit/244761/?view=edit" xr:uid="{471EA21C-DE79-744C-AA89-373155F16B35}"/>
    <hyperlink ref="C365" r:id="rId353" display="https://youxelteam.visualstudio.com/CheckNow/_workitems/edit/244757/?view=edit" xr:uid="{3EFF50E5-A037-A141-8572-7785321A1107}"/>
    <hyperlink ref="C366" r:id="rId354" display="https://youxelteam.visualstudio.com/CheckNow/_workitems/edit/244757/?view=edit" xr:uid="{A0A92CEB-2479-6E4C-896F-BE2402E961B5}"/>
    <hyperlink ref="C367" r:id="rId355" display="https://youxelteam.visualstudio.com/CheckNow/_workitems/edit/244758/?view=edit" xr:uid="{4C823038-503A-F541-82B4-340F12422090}"/>
    <hyperlink ref="C368" r:id="rId356" display="https://youxelteam.visualstudio.com/CheckNow/_workitems/edit/244758/?view=edit" xr:uid="{96689DF5-5302-234A-A30E-569884D5C3B6}"/>
    <hyperlink ref="C369" r:id="rId357" display="https://youxelteam.visualstudio.com/CheckNow/_workitems/edit/244758/?view=edit" xr:uid="{0CD38B03-780F-B74B-B1CC-BF63022D4B2F}"/>
    <hyperlink ref="C370" r:id="rId358" display="https://youxelteam.visualstudio.com/CheckNow/_workitems/edit/263534/?view=edit" xr:uid="{1C3426C4-A57B-5040-AB66-4B245811AA8B}"/>
    <hyperlink ref="C371" r:id="rId359" display="https://youxelteam.visualstudio.com/CheckNow/_workitems/edit/263534/?view=edit" xr:uid="{9E8935AB-BC18-2041-A5C7-25AFA3CF456A}"/>
    <hyperlink ref="C372" r:id="rId360" display="https://youxelteam.visualstudio.com/CheckNow/_workitems/edit/263534/?view=edit" xr:uid="{BE6089DC-56FD-164D-B0C5-A9741B447512}"/>
    <hyperlink ref="C373" r:id="rId361" display="https://youxelteam.visualstudio.com/CheckNow/_workitems/edit/263834/?view=edit" xr:uid="{3A7E9B2D-907E-7646-856D-C59FF40A9011}"/>
    <hyperlink ref="C374" r:id="rId362" display="https://youxelteam.visualstudio.com/CheckNow/_workitems/edit/263834/?view=edit" xr:uid="{EAA633CC-C0A1-A54A-9BE7-DB4A6E0AA18E}"/>
    <hyperlink ref="C375" r:id="rId363" display="https://youxelteam.visualstudio.com/CheckNow/_workitems/edit/263834/?view=edit" xr:uid="{97227E3D-4F25-654F-A862-5DD950C85B3D}"/>
    <hyperlink ref="C376" r:id="rId364" display="https://youxelteam.visualstudio.com/CheckNow/_workitems/edit/263834/?view=edit" xr:uid="{6C75BB2D-0926-A343-B50B-FA6D18762365}"/>
    <hyperlink ref="C377" r:id="rId365" display="https://youxelteam.visualstudio.com/CheckNow/_workitems/edit/264506/?view=edit" xr:uid="{F150D1E6-9311-5444-A727-3DAB2790898E}"/>
    <hyperlink ref="C378" r:id="rId366" display="https://youxelteam.visualstudio.com/CheckNow/_workitems/edit/264506/?view=edit" xr:uid="{FFEA9984-115E-5140-9C82-85EB28F03642}"/>
    <hyperlink ref="C379" r:id="rId367" display="https://youxelteam.visualstudio.com/CheckNow/_workitems/edit/247302/?view=edit" xr:uid="{DC49C991-7622-B24A-BF59-E04E83D76E24}"/>
    <hyperlink ref="C380" r:id="rId368" display="https://youxelteam.visualstudio.com/CheckNow/_workitems/edit/247302/?view=edit" xr:uid="{41D3132F-9EBC-6145-8187-9A6BB94FF5BC}"/>
    <hyperlink ref="C381" r:id="rId369" display="https://youxelteam.visualstudio.com/CheckNow/_workitems/edit/253676/?view=edit" xr:uid="{F9B5DBFD-4A5B-8C4D-A3A0-A0BFBD6C94B7}"/>
    <hyperlink ref="C382" r:id="rId370" display="https://youxelteam.visualstudio.com/CheckNow/_workitems/edit/253676/?view=edit" xr:uid="{A28A8F40-D527-6D41-A41A-F3FBC7FDCA74}"/>
    <hyperlink ref="C383" r:id="rId371" display="https://youxelteam.visualstudio.com/CheckNow/_workitems/edit/253676/?view=edit" xr:uid="{A84D04E0-F07A-474B-8850-FA5429CDE15F}"/>
    <hyperlink ref="C384" r:id="rId372" display="https://youxelteam.visualstudio.com/CheckNow/_workitems/edit/253676/?view=edit" xr:uid="{6DF344E8-6C60-A745-86C1-967803045267}"/>
    <hyperlink ref="C385" r:id="rId373" display="https://youxelteam.visualstudio.com/CheckNow/_workitems/edit/247303/?view=edit" xr:uid="{DD81BDFD-221F-3042-8E88-0F26E4386256}"/>
    <hyperlink ref="C386" r:id="rId374" display="https://youxelteam.visualstudio.com/CheckNow/_workitems/edit/247304/?view=edit" xr:uid="{C0CE7676-E7FC-A141-AE18-73B6CD71B770}"/>
    <hyperlink ref="C387" r:id="rId375" display="https://youxelteam.visualstudio.com/CheckNow/_workitems/edit/247305/?view=edit" xr:uid="{6F63AD26-CD49-8C4E-B9F3-CAB641BD7915}"/>
    <hyperlink ref="C388" r:id="rId376" display="https://youxelteam.visualstudio.com/CheckNow/_workitems/edit/247306/?view=edit" xr:uid="{311883FE-C6A4-2F47-B265-BD03CCCB6F3D}"/>
    <hyperlink ref="C389" r:id="rId377" display="https://youxelteam.visualstudio.com/CheckNow/_workitems/edit/247322/?view=edit" xr:uid="{B3EBEE7B-A6A5-8743-86BD-C70A68DC49E2}"/>
    <hyperlink ref="C390" r:id="rId378" display="https://youxelteam.visualstudio.com/CheckNow/_workitems/edit/247321/?view=edit" xr:uid="{00131094-7336-1744-B4C6-C90DD2D3C856}"/>
    <hyperlink ref="C391" r:id="rId379" display="https://youxelteam.visualstudio.com/CheckNow/_workitems/edit/247324/?view=edit" xr:uid="{B77D1E0A-C610-4540-81E1-1D826C792CA8}"/>
    <hyperlink ref="C392" r:id="rId380" display="https://youxelteam.visualstudio.com/CheckNow/_workitems/edit/247323/?view=edit" xr:uid="{54EF8F12-68F7-2F49-B222-0B87B188756E}"/>
    <hyperlink ref="C393" r:id="rId381" display="https://youxelteam.visualstudio.com/CheckNow/_workitems/edit/247308/?view=edit" xr:uid="{C8FD4E34-4725-184F-AAA2-F58E3D0972C9}"/>
    <hyperlink ref="C394" r:id="rId382" display="https://youxelteam.visualstudio.com/CheckNow/_workitems/edit/247315/?view=edit" xr:uid="{C626C08B-BAED-2F49-B73B-68A95DCBB933}"/>
    <hyperlink ref="C395" r:id="rId383" display="https://youxelteam.visualstudio.com/CheckNow/_workitems/edit/247313/?view=edit" xr:uid="{2D885B03-23F9-CA42-A4BC-1852CE9AA743}"/>
    <hyperlink ref="C396" r:id="rId384" display="https://youxelteam.visualstudio.com/CheckNow/_workitems/edit/247314/?view=edit" xr:uid="{9B160947-4E5E-6143-8A5D-0D43430E7B75}"/>
    <hyperlink ref="C397" r:id="rId385" display="https://youxelteam.visualstudio.com/CheckNow/_workitems/edit/247316/?view=edit" xr:uid="{DA53012B-4FD1-4C40-85BE-98FED2A13B6D}"/>
    <hyperlink ref="C398" r:id="rId386" display="https://youxelteam.visualstudio.com/CheckNow/_workitems/edit/247312/?view=edit" xr:uid="{0F5EF12F-E92F-AE40-96E4-B8FE3B3953D6}"/>
    <hyperlink ref="C399" r:id="rId387" display="https://youxelteam.visualstudio.com/CheckNow/_workitems/edit/247312/?view=edit" xr:uid="{F26C6597-F0EC-F34F-B38C-689800DB2D3C}"/>
    <hyperlink ref="C400" r:id="rId388" display="https://youxelteam.visualstudio.com/CheckNow/_workitems/edit/247310/?view=edit" xr:uid="{0F62A20F-C147-814D-86F8-7699E77D49A8}"/>
    <hyperlink ref="C401" r:id="rId389" display="https://youxelteam.visualstudio.com/CheckNow/_workitems/edit/247310/?view=edit" xr:uid="{03D97FD8-6C26-F24B-95DA-2BEDED3E2805}"/>
    <hyperlink ref="C402" r:id="rId390" display="https://youxelteam.visualstudio.com/CheckNow/_workitems/edit/247310/?view=edit" xr:uid="{1A015770-BFC2-7443-A19A-8030982BC0B8}"/>
    <hyperlink ref="C403" r:id="rId391" display="https://youxelteam.visualstudio.com/CheckNow/_workitems/edit/247319/?view=edit" xr:uid="{C1B559FC-A9E0-A047-B41E-0C0A8FFEFBDB}"/>
    <hyperlink ref="C404" r:id="rId392" display="https://youxelteam.visualstudio.com/CheckNow/_workitems/edit/247311/?view=edit" xr:uid="{9044E3B4-A642-9D4B-A76C-D548759EC565}"/>
    <hyperlink ref="C405" r:id="rId393" display="https://youxelteam.visualstudio.com/CheckNow/_workitems/edit/252836/?view=edit" xr:uid="{2BE67143-5C2F-E14C-80E8-A275BE6FC868}"/>
    <hyperlink ref="C406" r:id="rId394" display="https://youxelteam.visualstudio.com/CheckNow/_workitems/edit/252836/?view=edit" xr:uid="{BECEF56B-92E4-7249-824A-3BC39C0775B8}"/>
    <hyperlink ref="C407" r:id="rId395" display="https://youxelteam.visualstudio.com/CheckNow/_workitems/edit/252836/?view=edit" xr:uid="{CDBA216F-EB8C-7E46-BB12-5947747BA4EC}"/>
    <hyperlink ref="C408" r:id="rId396" display="https://youxelteam.visualstudio.com/CheckNow/_workitems/edit/252836/?view=edit" xr:uid="{844F75EC-1FCB-8D49-9CDF-B2BEB85C528F}"/>
    <hyperlink ref="C409" r:id="rId397" display="https://youxelteam.visualstudio.com/CheckNow/_workitems/edit/264492/?view=edit" xr:uid="{A2B97552-EB75-5545-A389-B88BA358F2CB}"/>
    <hyperlink ref="C410" r:id="rId398" display="https://youxelteam.visualstudio.com/CheckNow/_workitems/edit/264492/?view=edit" xr:uid="{DB0AE77C-70A3-3D44-8321-9C65EC5CAC3F}"/>
    <hyperlink ref="C411" r:id="rId399" display="https://youxelteam.visualstudio.com/CheckNow/_workitems/edit/264492/?view=edit" xr:uid="{88B9A10C-DC12-F94B-8A76-0290B6871BE1}"/>
    <hyperlink ref="C412" r:id="rId400" display="https://youxelteam.visualstudio.com/CheckNow/_workitems/edit/264492/?view=edit" xr:uid="{981567C4-13B6-AA44-84B5-3236595EBDB9}"/>
    <hyperlink ref="C413" r:id="rId401" display="https://youxelteam.visualstudio.com/CheckNow/_workitems/edit/264492/?view=edit" xr:uid="{E0152ABC-615D-BC46-B1B0-6AB141F06990}"/>
    <hyperlink ref="C414" r:id="rId402" display="https://youxelteam.visualstudio.com/CheckNow/_workitems/edit/264492/?view=edit" xr:uid="{07E51730-4AE7-BE4F-BED2-41D0D3CF402B}"/>
    <hyperlink ref="C415" r:id="rId403" display="https://youxelteam.visualstudio.com/CheckNow/_workitems/edit/264494/?view=edit" xr:uid="{D22B05DE-3B7C-5547-A18A-B597DFA55D35}"/>
    <hyperlink ref="C416" r:id="rId404" display="https://youxelteam.visualstudio.com/CheckNow/_workitems/edit/264494/?view=edit" xr:uid="{2C2EBC89-B636-ED46-A4A1-490E4C2473AF}"/>
    <hyperlink ref="C417" r:id="rId405" display="https://youxelteam.visualstudio.com/CheckNow/_workitems/edit/252825/?view=edit" xr:uid="{5482DF0B-A231-A14B-A450-C81E981D8C6B}"/>
    <hyperlink ref="C418" r:id="rId406" display="https://youxelteam.visualstudio.com/CheckNow/_workitems/edit/252825/?view=edit" xr:uid="{36B1A155-AA31-2B45-AB3B-3885B88EFCF3}"/>
    <hyperlink ref="C419" r:id="rId407" display="https://youxelteam.visualstudio.com/CheckNow/_workitems/edit/252825/?view=edit" xr:uid="{3B07EE56-52E1-224D-818A-50C4F00F52B8}"/>
    <hyperlink ref="C420" r:id="rId408" display="https://youxelteam.visualstudio.com/CheckNow/_workitems/edit/252825/?view=edit" xr:uid="{84DE1497-DE87-064C-8E81-AC531FE92614}"/>
    <hyperlink ref="C421" r:id="rId409" display="https://youxelteam.visualstudio.com/CheckNow/_workitems/edit/252825/?view=edit" xr:uid="{5E6D696A-FC54-804C-9C83-F6951587E1B0}"/>
    <hyperlink ref="C422" r:id="rId410" display="https://youxelteam.visualstudio.com/CheckNow/_workitems/edit/252825/?view=edit" xr:uid="{30883604-E7D1-3546-8F5B-3140E7F11BC1}"/>
    <hyperlink ref="C423" r:id="rId411" display="https://youxelteam.visualstudio.com/CheckNow/_workitems/edit/252825/?view=edit" xr:uid="{1EB2F085-2A7A-1943-8D68-36DA81FEC31F}"/>
    <hyperlink ref="C424" r:id="rId412" display="https://youxelteam.visualstudio.com/CheckNow/_workitems/edit/252825/?view=edit" xr:uid="{7625FCE4-97C1-2144-9FB1-EA779CAFBE30}"/>
    <hyperlink ref="C425" r:id="rId413" display="https://youxelteam.visualstudio.com/CheckNow/_workitems/edit/252825/?view=edit" xr:uid="{1D496FF7-4742-DC4C-9D58-CAD3BC0EDA13}"/>
    <hyperlink ref="C426" r:id="rId414" display="https://youxelteam.visualstudio.com/CheckNow/_workitems/edit/252825/?view=edit" xr:uid="{79026BA8-FE3C-814A-AC1F-C085DE3A16E9}"/>
    <hyperlink ref="C427" r:id="rId415" display="https://youxelteam.visualstudio.com/CheckNow/_workitems/edit/252825/?view=edit" xr:uid="{4D75E011-08DC-9C47-B324-F9C17378D078}"/>
    <hyperlink ref="C428" r:id="rId416" display="https://youxelteam.visualstudio.com/CheckNow/_workitems/edit/252825/?view=edit" xr:uid="{9B97B4BD-82D5-1C45-A932-7498FEA9D86C}"/>
    <hyperlink ref="C429" r:id="rId417" display="https://youxelteam.visualstudio.com/CheckNow/_workitems/edit/252825/?view=edit" xr:uid="{EE3B0185-3D97-3340-9DE5-2627E33E925F}"/>
    <hyperlink ref="C430" r:id="rId418" display="https://youxelteam.visualstudio.com/CheckNow/_workitems/edit/252825/?view=edit" xr:uid="{1A6B3A8A-8B2F-4F47-91EA-4850A42310A4}"/>
    <hyperlink ref="C431" r:id="rId419" display="https://youxelteam.visualstudio.com/CheckNow/_workitems/edit/252825/?view=edit" xr:uid="{8A962E96-35FD-E54B-8170-130235AF3718}"/>
    <hyperlink ref="C432" r:id="rId420" display="https://youxelteam.visualstudio.com/CheckNow/_workitems/edit/252825/?view=edit" xr:uid="{E133C3E3-87A4-D049-B541-70808B5567E0}"/>
    <hyperlink ref="C433" r:id="rId421" display="https://youxelteam.visualstudio.com/CheckNow/_workitems/edit/252825/?view=edit" xr:uid="{D1C309C3-6F55-BD4F-AB74-B6FA0F336E1E}"/>
    <hyperlink ref="C434" r:id="rId422" display="https://youxelteam.visualstudio.com/CheckNow/_workitems/edit/252825/?view=edit" xr:uid="{2C42045C-1D64-384F-8DA2-C9C602A92475}"/>
    <hyperlink ref="C435" r:id="rId423" display="https://youxelteam.visualstudio.com/CheckNow/_workitems/edit/252825/?view=edit" xr:uid="{A37DF6E6-1B1A-814B-AC20-74218E4A9591}"/>
    <hyperlink ref="C436" r:id="rId424" display="https://youxelteam.visualstudio.com/CheckNow/_workitems/edit/252825/?view=edit" xr:uid="{E20200EA-E068-F342-949E-F44525D72A1C}"/>
    <hyperlink ref="C437" r:id="rId425" display="https://youxelteam.visualstudio.com/CheckNow/_workitems/edit/252825/?view=edit" xr:uid="{0BCA65FA-7480-4E43-B3AE-DCC5DDE07CD1}"/>
    <hyperlink ref="C438" r:id="rId426" display="https://youxelteam.visualstudio.com/CheckNow/_workitems/edit/252825/?view=edit" xr:uid="{7AED3959-D73E-2D41-AEEB-4BFF45ADC8EA}"/>
    <hyperlink ref="C439" r:id="rId427" display="https://youxelteam.visualstudio.com/CheckNow/_workitems/edit/252825/?view=edit" xr:uid="{9A63364F-5030-9946-BC2C-9933A5DE9F1C}"/>
    <hyperlink ref="C440" r:id="rId428" display="https://youxelteam.visualstudio.com/CheckNow/_workitems/edit/252825/?view=edit" xr:uid="{1574B504-7648-474C-B49D-C98586DD6907}"/>
    <hyperlink ref="C441" r:id="rId429" display="https://youxelteam.visualstudio.com/CheckNow/_workitems/edit/252825/?view=edit" xr:uid="{86B61C76-8AA4-5948-8D1F-F53912836CE0}"/>
    <hyperlink ref="C442" r:id="rId430" display="https://youxelteam.visualstudio.com/CheckNow/_workitems/edit/252825/?view=edit" xr:uid="{455F9044-6D7B-5648-8AD1-528A4F98DE71}"/>
    <hyperlink ref="C443" r:id="rId431" display="https://youxelteam.visualstudio.com/CheckNow/_workitems/edit/252825/?view=edit" xr:uid="{C25E8669-D088-6246-AB4D-B98660A3D630}"/>
    <hyperlink ref="C444" r:id="rId432" display="https://youxelteam.visualstudio.com/CheckNow/_workitems/edit/252825/?view=edit" xr:uid="{F76D9691-6198-464C-8699-6F5427A6DA43}"/>
    <hyperlink ref="C445" r:id="rId433" display="https://youxelteam.visualstudio.com/CheckNow/_workitems/edit/252825/?view=edit" xr:uid="{2262C4DA-8921-5E4B-AFF1-FFD1A2011649}"/>
    <hyperlink ref="C446" r:id="rId434" display="https://youxelteam.visualstudio.com/CheckNow/_workitems/edit/262102/?view=edit" xr:uid="{18E8DF7F-D4EE-2A48-9B60-BA09C1F1D781}"/>
    <hyperlink ref="C447" r:id="rId435" display="https://youxelteam.visualstudio.com/CheckNow/_workitems/edit/260487/?view=edit" xr:uid="{D6F2531D-C634-FB44-9C16-BF88E46A8823}"/>
    <hyperlink ref="C448" r:id="rId436" display="https://youxelteam.visualstudio.com/CheckNow/_workitems/edit/263833/?view=edit" xr:uid="{50DD397D-C7E4-254A-A87C-844F58073C8F}"/>
    <hyperlink ref="C449" r:id="rId437" display="https://youxelteam.visualstudio.com/CheckNow/_workitems/edit/263833/?view=edit" xr:uid="{CD1F86C3-8D09-EE4D-9938-5E17C8C51F6D}"/>
    <hyperlink ref="C450" r:id="rId438" display="https://youxelteam.visualstudio.com/CheckNow/_workitems/edit/263833/?view=edit" xr:uid="{67CBF460-F5F2-9946-83A3-A614123D5C35}"/>
    <hyperlink ref="C451" r:id="rId439" display="https://youxelteam.visualstudio.com/CheckNow/_workitems/edit/263833/?view=edit" xr:uid="{0ECDF798-11FE-534E-BBDC-12DC8BAE4CF3}"/>
    <hyperlink ref="C452" r:id="rId440" display="https://youxelteam.visualstudio.com/CheckNow/_workitems/edit/263833/?view=edit" xr:uid="{059C19A5-BD54-994E-B9B7-BEE336C38C32}"/>
    <hyperlink ref="C453" r:id="rId441" display="https://youxelteam.visualstudio.com/CheckNow/_workitems/edit/263833/?view=edit" xr:uid="{8112498D-961F-2446-B6BA-7ECB8398805C}"/>
    <hyperlink ref="C454" r:id="rId442" display="https://youxelteam.visualstudio.com/CheckNow/_workitems/edit/263833/?view=edit" xr:uid="{75212439-4DDA-1A45-93D3-3FD079FE1C51}"/>
    <hyperlink ref="C455" r:id="rId443" display="https://youxelteam.visualstudio.com/CheckNow/_workitems/edit/263833/?view=edit" xr:uid="{BC6C9EF8-E813-4541-9B1B-5D2EF23C8728}"/>
    <hyperlink ref="C456" r:id="rId444" display="https://youxelteam.visualstudio.com/CheckNow/_workitems/edit/263833/?view=edit" xr:uid="{5FB6C99B-58F8-EA4C-A1C8-148FB04997BC}"/>
    <hyperlink ref="C460" r:id="rId445" display="https://youxelteam.visualstudio.com/CheckNow/_workitems/edit/260177/?view=edit" xr:uid="{8CC15F97-222A-724F-96D8-841DDCAD0FB0}"/>
    <hyperlink ref="C461" r:id="rId446" display="https://youxelteam.visualstudio.com/CheckNow/_workitems/edit/260177/?view=edit" xr:uid="{7C098AA1-7304-F84C-BBD9-52A288A0ABD2}"/>
    <hyperlink ref="C462" r:id="rId447" display="https://youxelteam.visualstudio.com/CheckNow/_workitems/edit/251892/?view=edit" xr:uid="{DF38AC13-3A8B-244C-893E-231DF441251D}"/>
    <hyperlink ref="C463" r:id="rId448" display="https://youxelteam.visualstudio.com/CheckNow/_workitems/edit/251892/?view=edit" xr:uid="{09EEBE9D-3614-6549-ADD7-D901D940B901}"/>
    <hyperlink ref="C464" r:id="rId449" display="https://youxelteam.visualstudio.com/CheckNow/_workitems/edit/233816/?view=edit" xr:uid="{5A5EC444-C1A6-844F-A0F7-7F9034DED432}"/>
    <hyperlink ref="C465" r:id="rId450" display="https://youxelteam.visualstudio.com/CheckNow/_workitems/edit/233934/?view=edit" xr:uid="{3C6FF5A6-2ACB-FE42-96FE-5D787E7FAF8C}"/>
    <hyperlink ref="C466" r:id="rId451" display="https://youxelteam.visualstudio.com/CheckNow/_workitems/edit/255495/?view=edit" xr:uid="{7B574663-87AF-0E44-B7FD-0F4AD45B492E}"/>
    <hyperlink ref="C467" r:id="rId452" display="https://youxelteam.visualstudio.com/CheckNow/_workitems/edit/255495/?view=edit" xr:uid="{9251D85F-1008-BE4A-AA13-ED823D63926B}"/>
    <hyperlink ref="C468" r:id="rId453" display="https://youxelteam.visualstudio.com/CheckNow/_workitems/edit/250832/?view=edit" xr:uid="{8743499D-760C-0845-9A3A-EDD187AAC064}"/>
    <hyperlink ref="C469" r:id="rId454" display="https://youxelteam.visualstudio.com/CheckNow/_workitems/edit/250832/?view=edit" xr:uid="{4DBD225D-1158-B140-B6AD-C2E7228BB8F9}"/>
    <hyperlink ref="C470" r:id="rId455" display="https://youxelteam.visualstudio.com/CheckNow/_workitems/edit/250832/?view=edit" xr:uid="{9E3B82E2-CA32-B746-AFC4-630B157D5970}"/>
    <hyperlink ref="C471" r:id="rId456" display="https://youxelteam.visualstudio.com/CheckNow/_workitems/edit/250832/?view=edit" xr:uid="{A7A61050-9AEC-F94C-9C33-5A20D1C7CF32}"/>
    <hyperlink ref="C472" r:id="rId457" display="https://youxelteam.visualstudio.com/CheckNow/_workitems/edit/250832/?view=edit" xr:uid="{9D1AB38A-9F7D-FC4D-A388-0C68E37C8E77}"/>
    <hyperlink ref="C473" r:id="rId458" display="https://youxelteam.visualstudio.com/CheckNow/_workitems/edit/250832/?view=edit" xr:uid="{C6DB9B3E-E6AF-6F49-A492-1215B91C185E}"/>
    <hyperlink ref="C474" r:id="rId459" display="https://youxelteam.visualstudio.com/CheckNow/_workitems/edit/250832/?view=edit" xr:uid="{BC3C02D8-D7BC-B243-9E64-00A28F7DB8EE}"/>
    <hyperlink ref="C475" r:id="rId460" display="https://youxelteam.visualstudio.com/CheckNow/_workitems/edit/250832/?view=edit" xr:uid="{E014107C-4721-084C-A88B-4A4DC2A04E87}"/>
    <hyperlink ref="C476" r:id="rId461" display="https://youxelteam.visualstudio.com/CheckNow/_workitems/edit/250832/?view=edit" xr:uid="{D667EB15-A262-1949-9F0F-EAB77A6296E1}"/>
    <hyperlink ref="C477" r:id="rId462" display="https://youxelteam.visualstudio.com/CheckNow/_workitems/edit/250832/?view=edit" xr:uid="{6934C76D-A04D-FC4E-AF5A-F4D915E33D4C}"/>
    <hyperlink ref="C478" r:id="rId463" display="https://youxelteam.visualstudio.com/CheckNow/_workitems/edit/250832/?view=edit" xr:uid="{EBC7D2B8-CA22-474E-9596-9C02BB70248D}"/>
    <hyperlink ref="C479" r:id="rId464" display="https://youxelteam.visualstudio.com/CheckNow/_workitems/edit/250832/?view=edit" xr:uid="{95A874B9-3C67-B645-8E02-1341333BCB03}"/>
    <hyperlink ref="C480" r:id="rId465" display="https://youxelteam.visualstudio.com/CheckNow/_workitems/edit/250832/?view=edit" xr:uid="{7BD3C6F7-C018-CA46-A65A-86F42D87DC18}"/>
    <hyperlink ref="C481" r:id="rId466" display="https://youxelteam.visualstudio.com/CheckNow/_workitems/edit/250832/?view=edit" xr:uid="{10FB96D6-17A7-5D43-8895-BA1CEFE7EBEE}"/>
    <hyperlink ref="C482" r:id="rId467" display="https://youxelteam.visualstudio.com/CheckNow/_workitems/edit/250832/?view=edit" xr:uid="{DF6E0F8D-7A42-5744-8DF0-5326B6BEFFEF}"/>
    <hyperlink ref="C483" r:id="rId468" display="https://youxelteam.visualstudio.com/CheckNow/_workitems/edit/250832/?view=edit" xr:uid="{E8AD0A43-79B5-874E-A442-600B12EC2FB0}"/>
    <hyperlink ref="C484" r:id="rId469" display="https://youxelteam.visualstudio.com/CheckNow/_workitems/edit/250832/?view=edit" xr:uid="{26885283-ED20-714A-8B33-417AD60379CA}"/>
    <hyperlink ref="C485" r:id="rId470" display="https://youxelteam.visualstudio.com/CheckNow/_workitems/edit/250832/?view=edit" xr:uid="{1FF1ADDC-81AA-5D46-A44C-2C9745251952}"/>
    <hyperlink ref="C486" r:id="rId471" display="https://youxelteam.visualstudio.com/CheckNow/_workitems/edit/250832/?view=edit" xr:uid="{EA5DBE36-5B24-744B-9675-9F53337F4A40}"/>
    <hyperlink ref="C487" r:id="rId472" display="https://youxelteam.visualstudio.com/CheckNow/_workitems/edit/250832/?view=edit" xr:uid="{6677480C-5ED5-4344-BB90-745C634C2255}"/>
    <hyperlink ref="C488" r:id="rId473" display="https://youxelteam.visualstudio.com/CheckNow/_workitems/edit/250832/?view=edit" xr:uid="{1D14C667-E7E5-7C4E-BBE0-1DEB05B20FA4}"/>
    <hyperlink ref="C489" r:id="rId474" display="https://youxelteam.visualstudio.com/CheckNow/_workitems/edit/250832/?view=edit" xr:uid="{7091E0D2-726A-B04C-B88A-15C80014DE2E}"/>
    <hyperlink ref="C490" r:id="rId475" display="https://youxelteam.visualstudio.com/CheckNow/_workitems/edit/250832/?view=edit" xr:uid="{D640500C-BFF8-E448-B65E-A2CC0524AC1B}"/>
    <hyperlink ref="C491" r:id="rId476" display="https://youxelteam.visualstudio.com/CheckNow/_workitems/edit/250832/?view=edit" xr:uid="{A90BF20F-E6A8-4A41-B9BA-7182847C62BF}"/>
    <hyperlink ref="C492" r:id="rId477" display="https://youxelteam.visualstudio.com/CheckNow/_workitems/edit/250832/?view=edit" xr:uid="{A01B37D4-15A1-6146-95EE-1D6848458870}"/>
    <hyperlink ref="C493" r:id="rId478" display="https://youxelteam.visualstudio.com/CheckNow/_workitems/edit/242628/?view=edit" xr:uid="{ED63F2A7-80E4-CB46-BC45-3F844E76C1B2}"/>
    <hyperlink ref="C494" r:id="rId479" display="https://youxelteam.visualstudio.com/CheckNow/_workitems/edit/242628/?view=edit" xr:uid="{FC2133AF-7DBE-984A-891B-F05BB1B1E251}"/>
    <hyperlink ref="C495" r:id="rId480" display="https://youxelteam.visualstudio.com/CheckNow/_workitems/edit/242628/?view=edit" xr:uid="{ABA564B5-5A78-FF4F-A8B4-68C621B5A70D}"/>
    <hyperlink ref="C496" r:id="rId481" display="https://youxelteam.visualstudio.com/CheckNow/_workitems/edit/247747/?view=edit" xr:uid="{BA3A8C26-703E-1146-BF06-8FF6890232A5}"/>
    <hyperlink ref="C497" r:id="rId482" display="https://youxelteam.visualstudio.com/CheckNow/_workitems/edit/247748/?view=edit" xr:uid="{CD8D4586-0F77-254C-91EF-123EF5387372}"/>
    <hyperlink ref="C498" r:id="rId483" display="https://youxelteam.visualstudio.com/CheckNow/_workitems/edit/244767/?view=edit" xr:uid="{0548734E-ED40-2444-9D7E-43BF14B56567}"/>
    <hyperlink ref="C499" r:id="rId484" display="https://youxelteam.visualstudio.com/CheckNow/_workitems/edit/244767/?view=edit" xr:uid="{9FD3B4E1-C50F-2D43-9082-38E91620A925}"/>
    <hyperlink ref="C500" r:id="rId485" display="https://youxelteam.visualstudio.com/CheckNow/_workitems/edit/244767/?view=edit" xr:uid="{09D7C8D6-E36C-0841-BE44-ECEAEC925747}"/>
    <hyperlink ref="C501" r:id="rId486" display="https://youxelteam.visualstudio.com/CheckNow/_workitems/edit/244767/?view=edit" xr:uid="{3EA4860C-04DA-4F44-A801-4173F4896D76}"/>
    <hyperlink ref="C502" r:id="rId487" display="https://youxelteam.visualstudio.com/CheckNow/_workitems/edit/244767/?view=edit" xr:uid="{6BD4C254-FB00-CE47-BD5C-076E22524ABB}"/>
    <hyperlink ref="C503" r:id="rId488" display="https://youxelteam.visualstudio.com/CheckNow/_workitems/edit/244767/?view=edit" xr:uid="{6774D2F6-D314-5747-803B-C520F9D5D0A9}"/>
    <hyperlink ref="C504" r:id="rId489" display="https://youxelteam.visualstudio.com/CheckNow/_workitems/edit/244767/?view=edit" xr:uid="{C672ADF0-2854-014E-A112-BF17DD880638}"/>
    <hyperlink ref="C505" r:id="rId490" display="https://youxelteam.visualstudio.com/CheckNow/_workitems/edit/244767/?view=edit" xr:uid="{6282B3AA-774C-504B-9B62-FF5C9C8FD5EF}"/>
    <hyperlink ref="C506" r:id="rId491" display="https://youxelteam.visualstudio.com/CheckNow/_workitems/edit/244764/?view=edit" xr:uid="{67C62443-7524-1348-9886-A2DEA4DFE267}"/>
    <hyperlink ref="C507" r:id="rId492" display="https://youxelteam.visualstudio.com/CheckNow/_workitems/edit/244770/?view=edit" xr:uid="{2FDD52E3-39AD-EE40-9281-17BC26BB3142}"/>
    <hyperlink ref="C508" r:id="rId493" display="https://youxelteam.visualstudio.com/CheckNow/_workitems/edit/242629/?view=edit" xr:uid="{5CAAB112-04AA-774B-87E7-5C122D1F243E}"/>
    <hyperlink ref="C509" r:id="rId494" display="https://youxelteam.visualstudio.com/CheckNow/_workitems/edit/242629/?view=edit" xr:uid="{731A7A6E-904F-8F48-92EF-9DF8BDE5AD77}"/>
    <hyperlink ref="C510" r:id="rId495" display="https://youxelteam.visualstudio.com/CheckNow/_workitems/edit/242629/?view=edit" xr:uid="{E07D5B24-1477-394C-AFB7-826C2077AF50}"/>
    <hyperlink ref="C511" r:id="rId496" display="https://youxelteam.visualstudio.com/CheckNow/_workitems/edit/242629/?view=edit" xr:uid="{C76ADB12-BF3C-0543-AFE5-B93DA6CC3EF4}"/>
    <hyperlink ref="C512" r:id="rId497" display="https://youxelteam.visualstudio.com/CheckNow/_workitems/edit/244768/?view=edit" xr:uid="{E6E85364-A5BE-734B-BF22-C6DDA3076B57}"/>
    <hyperlink ref="C513" r:id="rId498" display="https://youxelteam.visualstudio.com/CheckNow/_workitems/edit/244768/?view=edit" xr:uid="{37380E1D-4932-EB41-B543-00144518490D}"/>
    <hyperlink ref="C514" r:id="rId499" display="https://youxelteam.visualstudio.com/CheckNow/_workitems/edit/244768/?view=edit" xr:uid="{7E35E4E0-319C-AD47-852B-DD44508760B0}"/>
    <hyperlink ref="C515" r:id="rId500" display="https://youxelteam.visualstudio.com/CheckNow/_workitems/edit/244768/?view=edit" xr:uid="{13CFD973-6C16-EE4E-8080-A08EC95AB315}"/>
    <hyperlink ref="C516" r:id="rId501" display="https://youxelteam.visualstudio.com/CheckNow/_workitems/edit/244768/?view=edit" xr:uid="{D6D3CAC2-2A5A-9146-A370-31AF19DD17E8}"/>
    <hyperlink ref="C517" r:id="rId502" display="https://youxelteam.visualstudio.com/CheckNow/_workitems/edit/244768/?view=edit" xr:uid="{026CDE09-6AEB-0A4F-A6C4-68940E03ED1F}"/>
    <hyperlink ref="C518" r:id="rId503" display="https://youxelteam.visualstudio.com/CheckNow/_workitems/edit/244768/?view=edit" xr:uid="{1B83C5F0-837E-7C41-9C07-5575CAA47B10}"/>
    <hyperlink ref="C519" r:id="rId504" display="https://youxelteam.visualstudio.com/CheckNow/_workitems/edit/244768/?view=edit" xr:uid="{9F1F6F13-92BF-3148-B1DC-7E92026C583E}"/>
    <hyperlink ref="C520" r:id="rId505" display="https://youxelteam.visualstudio.com/CheckNow/_workitems/edit/244768/?view=edit" xr:uid="{F6299FFA-66C9-F74D-A5ED-9BBCE6E9559B}"/>
    <hyperlink ref="C521" r:id="rId506" display="https://youxelteam.visualstudio.com/CheckNow/_workitems/edit/244772/?view=edit" xr:uid="{92ADE73B-FEC3-4D41-AD33-611C2E2B7DAC}"/>
    <hyperlink ref="C522" r:id="rId507" display="https://youxelteam.visualstudio.com/CheckNow/_workitems/edit/244772/?view=edit" xr:uid="{E30E786A-9E50-4A41-AEA3-2C26A2C1ECCE}"/>
    <hyperlink ref="C523" r:id="rId508" display="https://youxelteam.visualstudio.com/CheckNow/_workitems/edit/244756/?view=edit" xr:uid="{9AFDC281-F7BB-7C49-BEB7-B99076CF0C26}"/>
    <hyperlink ref="C524" r:id="rId509" display="https://youxelteam.visualstudio.com/CheckNow/_workitems/edit/244756/?view=edit" xr:uid="{0DE3D835-65DB-D04E-B0A1-F2B97DD69940}"/>
    <hyperlink ref="C525" r:id="rId510" display="https://youxelteam.visualstudio.com/CheckNow/_workitems/edit/244756/?view=edit" xr:uid="{ED693D7A-3AEF-EF46-A54D-EBA668755E2D}"/>
    <hyperlink ref="C526" r:id="rId511" display="https://youxelteam.visualstudio.com/CheckNow/_workitems/edit/244761/?view=edit" xr:uid="{72159457-A41D-3344-8ADD-5527AEC5A7E4}"/>
    <hyperlink ref="C527" r:id="rId512" display="https://youxelteam.visualstudio.com/CheckNow/_workitems/edit/244761/?view=edit" xr:uid="{6172244A-055F-1B4F-AB6E-81A07737CD01}"/>
    <hyperlink ref="C528" r:id="rId513" display="https://youxelteam.visualstudio.com/CheckNow/_workitems/edit/244761/?view=edit" xr:uid="{8E654E71-3887-854B-ACBC-6A947DCB89AC}"/>
    <hyperlink ref="C529" r:id="rId514" display="https://youxelteam.visualstudio.com/CheckNow/_workitems/edit/244761/?view=edit" xr:uid="{BC897A77-CE13-2E4D-AEB4-1903EABC5091}"/>
    <hyperlink ref="C530" r:id="rId515" display="https://youxelteam.visualstudio.com/CheckNow/_workitems/edit/244761/?view=edit" xr:uid="{536FCAA3-99C7-084A-A894-B87281252361}"/>
    <hyperlink ref="C531" r:id="rId516" display="https://youxelteam.visualstudio.com/CheckNow/_workitems/edit/244761/?view=edit" xr:uid="{960D4173-5D34-4248-8695-A553651F3C2C}"/>
    <hyperlink ref="C532" r:id="rId517" display="https://youxelteam.visualstudio.com/CheckNow/_workitems/edit/244757/?view=edit" xr:uid="{9F352196-0DDA-F34F-98BC-DFB724880719}"/>
    <hyperlink ref="C533" r:id="rId518" display="https://youxelteam.visualstudio.com/CheckNow/_workitems/edit/244757/?view=edit" xr:uid="{A48F92B9-DACC-0643-B471-8808CC0FFEB8}"/>
    <hyperlink ref="C534" r:id="rId519" display="https://youxelteam.visualstudio.com/CheckNow/_workitems/edit/244758/?view=edit" xr:uid="{5CF3D55F-4092-3F46-BF2B-101A7FD8BE7B}"/>
    <hyperlink ref="C535" r:id="rId520" display="https://youxelteam.visualstudio.com/CheckNow/_workitems/edit/244758/?view=edit" xr:uid="{C8AB79C2-2B2E-E343-95B2-D1D069258C17}"/>
    <hyperlink ref="C536" r:id="rId521" display="https://youxelteam.visualstudio.com/CheckNow/_workitems/edit/244758/?view=edit" xr:uid="{086A4F26-3E96-5945-8C8B-D333DA1B1B29}"/>
    <hyperlink ref="C537" r:id="rId522" display="https://youxelteam.visualstudio.com/CheckNow/_workitems/edit/263534/?view=edit" xr:uid="{0A356353-6232-D348-A546-A1AE09A9DCCC}"/>
    <hyperlink ref="C538" r:id="rId523" display="https://youxelteam.visualstudio.com/CheckNow/_workitems/edit/263534/?view=edit" xr:uid="{871DD3D4-D7AB-D14D-AF1E-0DE4425CA8F0}"/>
    <hyperlink ref="C539" r:id="rId524" display="https://youxelteam.visualstudio.com/CheckNow/_workitems/edit/263534/?view=edit" xr:uid="{80330ADD-CBD9-B146-8F55-3A0326981016}"/>
    <hyperlink ref="C540" r:id="rId525" display="https://youxelteam.visualstudio.com/CheckNow/_workitems/edit/263834/?view=edit" xr:uid="{010588D2-F33A-E348-A964-198480EE4B5F}"/>
    <hyperlink ref="C541" r:id="rId526" display="https://youxelteam.visualstudio.com/CheckNow/_workitems/edit/263834/?view=edit" xr:uid="{450B7D2E-6BDF-7242-A395-F010CF747371}"/>
    <hyperlink ref="C542" r:id="rId527" display="https://youxelteam.visualstudio.com/CheckNow/_workitems/edit/263834/?view=edit" xr:uid="{571763A3-5F55-B848-9F13-15788E6FD3DA}"/>
    <hyperlink ref="C543" r:id="rId528" display="https://youxelteam.visualstudio.com/CheckNow/_workitems/edit/263834/?view=edit" xr:uid="{928ACCD5-9491-2A46-8596-726CE46ECFBB}"/>
    <hyperlink ref="C544" r:id="rId529" display="https://youxelteam.visualstudio.com/CheckNow/_workitems/edit/264506/?view=edit" xr:uid="{550CF0D7-05FD-0E44-8728-F97C4422758D}"/>
    <hyperlink ref="C545" r:id="rId530" display="https://youxelteam.visualstudio.com/CheckNow/_workitems/edit/264506/?view=edit" xr:uid="{47737382-5983-5F48-BA1B-58043354DE8B}"/>
    <hyperlink ref="C546" r:id="rId531" display="https://youxelteam.visualstudio.com/CheckNow/_workitems/edit/247302/?view=edit" xr:uid="{30B2C108-5BEC-4C4B-8697-967B40B36D16}"/>
    <hyperlink ref="C547" r:id="rId532" display="https://youxelteam.visualstudio.com/CheckNow/_workitems/edit/247302/?view=edit" xr:uid="{935EA151-4C25-FC4D-8EFA-52032FAD74E4}"/>
    <hyperlink ref="C548" r:id="rId533" display="https://youxelteam.visualstudio.com/CheckNow/_workitems/edit/253676/?view=edit" xr:uid="{789BA509-6D71-6A41-823B-A9DB505D9A5E}"/>
    <hyperlink ref="C549" r:id="rId534" display="https://youxelteam.visualstudio.com/CheckNow/_workitems/edit/253676/?view=edit" xr:uid="{755E028E-FE37-2E40-9C65-13AC1DA71B34}"/>
    <hyperlink ref="C550" r:id="rId535" display="https://youxelteam.visualstudio.com/CheckNow/_workitems/edit/253676/?view=edit" xr:uid="{27A6640A-BD74-3048-9C08-D9359C8011B9}"/>
    <hyperlink ref="C551" r:id="rId536" display="https://youxelteam.visualstudio.com/CheckNow/_workitems/edit/253676/?view=edit" xr:uid="{499FF33E-6473-3F4A-9A6D-7542CDE92A12}"/>
    <hyperlink ref="C552" r:id="rId537" display="https://youxelteam.visualstudio.com/CheckNow/_workitems/edit/247303/?view=edit" xr:uid="{8CDE2A6A-2DAD-CA47-93CB-D940CD0FEC6B}"/>
    <hyperlink ref="C553" r:id="rId538" display="https://youxelteam.visualstudio.com/CheckNow/_workitems/edit/247304/?view=edit" xr:uid="{52E61ED2-27CB-154B-AF14-003CF2763102}"/>
    <hyperlink ref="C554" r:id="rId539" display="https://youxelteam.visualstudio.com/CheckNow/_workitems/edit/247305/?view=edit" xr:uid="{019F8C0F-90FA-DF43-831C-A6A6A204A0DF}"/>
    <hyperlink ref="C555" r:id="rId540" display="https://youxelteam.visualstudio.com/CheckNow/_workitems/edit/247306/?view=edit" xr:uid="{B0A86C32-5F33-5A46-915D-31FF36B09089}"/>
    <hyperlink ref="C556" r:id="rId541" display="https://youxelteam.visualstudio.com/CheckNow/_workitems/edit/247322/?view=edit" xr:uid="{8B1F1D81-6C7C-9842-BDBC-9C90483C3631}"/>
    <hyperlink ref="C557" r:id="rId542" display="https://youxelteam.visualstudio.com/CheckNow/_workitems/edit/247321/?view=edit" xr:uid="{662FBF3C-A24C-EC47-AE04-C6F53D28AAB3}"/>
    <hyperlink ref="C558" r:id="rId543" display="https://youxelteam.visualstudio.com/CheckNow/_workitems/edit/247324/?view=edit" xr:uid="{6ECE0E8E-73AE-4D40-8EB7-316BA1F46BA5}"/>
    <hyperlink ref="C559" r:id="rId544" display="https://youxelteam.visualstudio.com/CheckNow/_workitems/edit/247323/?view=edit" xr:uid="{FC8DE6A5-B2D9-5840-BAB6-B5418905ABEB}"/>
    <hyperlink ref="C560" r:id="rId545" display="https://youxelteam.visualstudio.com/CheckNow/_workitems/edit/247308/?view=edit" xr:uid="{EBA8B410-417A-394B-B3B1-1EA6BF0D49BF}"/>
    <hyperlink ref="C561" r:id="rId546" display="https://youxelteam.visualstudio.com/CheckNow/_workitems/edit/247315/?view=edit" xr:uid="{1FB6CE89-0955-7A4D-9267-8F1CE39837E2}"/>
    <hyperlink ref="C562" r:id="rId547" display="https://youxelteam.visualstudio.com/CheckNow/_workitems/edit/247313/?view=edit" xr:uid="{9DA4963A-8AE9-3D4A-9C8F-6470891FE59A}"/>
    <hyperlink ref="C563" r:id="rId548" display="https://youxelteam.visualstudio.com/CheckNow/_workitems/edit/247314/?view=edit" xr:uid="{7E8BE187-675C-E24E-8B8F-2822C5D3EABA}"/>
    <hyperlink ref="C564" r:id="rId549" display="https://youxelteam.visualstudio.com/CheckNow/_workitems/edit/247316/?view=edit" xr:uid="{85FF0F88-1385-2C44-94FF-F881D980C8EF}"/>
    <hyperlink ref="C565" r:id="rId550" display="https://youxelteam.visualstudio.com/CheckNow/_workitems/edit/247312/?view=edit" xr:uid="{2C773824-9BE1-2A4A-9B49-3CE8BFD029A8}"/>
    <hyperlink ref="C566" r:id="rId551" display="https://youxelteam.visualstudio.com/CheckNow/_workitems/edit/247312/?view=edit" xr:uid="{9B264C4B-99C4-304E-96C7-FFA60970E54A}"/>
    <hyperlink ref="C567" r:id="rId552" display="https://youxelteam.visualstudio.com/CheckNow/_workitems/edit/247310/?view=edit" xr:uid="{770D3226-AD36-A846-921C-AA3E24148C1A}"/>
    <hyperlink ref="C568" r:id="rId553" display="https://youxelteam.visualstudio.com/CheckNow/_workitems/edit/247310/?view=edit" xr:uid="{E23EF8EF-3563-1640-AAD9-D8FDC867BAE8}"/>
    <hyperlink ref="C569" r:id="rId554" display="https://youxelteam.visualstudio.com/CheckNow/_workitems/edit/247310/?view=edit" xr:uid="{B804112C-67D5-3E43-BB94-14B5CE9C2DF5}"/>
    <hyperlink ref="C570" r:id="rId555" display="https://youxelteam.visualstudio.com/CheckNow/_workitems/edit/247319/?view=edit" xr:uid="{D9BE3DB1-CD8C-2B49-940A-D1F7B3A7160C}"/>
    <hyperlink ref="C571" r:id="rId556" display="https://youxelteam.visualstudio.com/CheckNow/_workitems/edit/247311/?view=edit" xr:uid="{5B47D204-F574-954E-B130-67CB9C4CCA84}"/>
    <hyperlink ref="C572" r:id="rId557" display="https://youxelteam.visualstudio.com/CheckNow/_workitems/edit/252836/?view=edit" xr:uid="{5E16C014-9BE6-6842-9CDC-C0A2DBAB66AE}"/>
    <hyperlink ref="C573" r:id="rId558" display="https://youxelteam.visualstudio.com/CheckNow/_workitems/edit/252836/?view=edit" xr:uid="{9A50729E-D2CD-2246-A44C-444C3B72FF1F}"/>
    <hyperlink ref="C574" r:id="rId559" display="https://youxelteam.visualstudio.com/CheckNow/_workitems/edit/252836/?view=edit" xr:uid="{0DB17C0C-C896-2247-8417-66EA77C70949}"/>
    <hyperlink ref="C575" r:id="rId560" display="https://youxelteam.visualstudio.com/CheckNow/_workitems/edit/252836/?view=edit" xr:uid="{89AC4C5E-E6A9-E749-97E3-424242D3B12F}"/>
    <hyperlink ref="C576" r:id="rId561" display="https://youxelteam.visualstudio.com/CheckNow/_workitems/edit/264492/?view=edit" xr:uid="{E51B4BA9-1DEF-EA45-AAD5-EFC5510F95BA}"/>
    <hyperlink ref="C577" r:id="rId562" display="https://youxelteam.visualstudio.com/CheckNow/_workitems/edit/264492/?view=edit" xr:uid="{2BB493FB-CFAC-C34F-82F0-9959C956DF7D}"/>
    <hyperlink ref="C578" r:id="rId563" display="https://youxelteam.visualstudio.com/CheckNow/_workitems/edit/264492/?view=edit" xr:uid="{BAD7F80A-C902-6B42-BE6E-1F3D72C7033E}"/>
    <hyperlink ref="C579" r:id="rId564" display="https://youxelteam.visualstudio.com/CheckNow/_workitems/edit/264492/?view=edit" xr:uid="{5D90A139-FFEC-994E-98A4-A0E48EF91F4D}"/>
    <hyperlink ref="C580" r:id="rId565" display="https://youxelteam.visualstudio.com/CheckNow/_workitems/edit/264492/?view=edit" xr:uid="{21723D3A-3141-474E-A02F-3A455EBEE53E}"/>
    <hyperlink ref="C581" r:id="rId566" display="https://youxelteam.visualstudio.com/CheckNow/_workitems/edit/264492/?view=edit" xr:uid="{C0514328-4219-4D4F-BEBA-2244C271CA9E}"/>
    <hyperlink ref="C582" r:id="rId567" display="https://youxelteam.visualstudio.com/CheckNow/_workitems/edit/264494/?view=edit" xr:uid="{DE17018E-1FCA-B243-A7F9-9A81B4E889B1}"/>
    <hyperlink ref="C583" r:id="rId568" display="https://youxelteam.visualstudio.com/CheckNow/_workitems/edit/264494/?view=edit" xr:uid="{CD98969A-3AB6-DF49-9C14-8F564D95BDE1}"/>
    <hyperlink ref="C584" r:id="rId569" display="https://youxelteam.visualstudio.com/CheckNow/_workitems/edit/252825/?view=edit" xr:uid="{61D2357A-6B2A-C946-9579-3C7709E48AE5}"/>
    <hyperlink ref="C585" r:id="rId570" display="https://youxelteam.visualstudio.com/CheckNow/_workitems/edit/252825/?view=edit" xr:uid="{56DDC036-C012-B24C-B6A2-6ED26F72CCAE}"/>
    <hyperlink ref="C586" r:id="rId571" display="https://youxelteam.visualstudio.com/CheckNow/_workitems/edit/252825/?view=edit" xr:uid="{CBE36267-C004-7844-AABF-80C93943A212}"/>
    <hyperlink ref="C587" r:id="rId572" display="https://youxelteam.visualstudio.com/CheckNow/_workitems/edit/252825/?view=edit" xr:uid="{68BC2586-78CD-CF48-BF71-6492C41BBDD5}"/>
    <hyperlink ref="C588" r:id="rId573" display="https://youxelteam.visualstudio.com/CheckNow/_workitems/edit/252825/?view=edit" xr:uid="{58DF4D09-8146-0543-979D-6B7D88D0673A}"/>
    <hyperlink ref="C589" r:id="rId574" display="https://youxelteam.visualstudio.com/CheckNow/_workitems/edit/252825/?view=edit" xr:uid="{6599B33E-3AC9-3B4E-B8C3-EC1B6777F4BD}"/>
    <hyperlink ref="C590" r:id="rId575" display="https://youxelteam.visualstudio.com/CheckNow/_workitems/edit/252825/?view=edit" xr:uid="{F01415A8-8E5B-434E-991C-4B780BD6A507}"/>
    <hyperlink ref="C591" r:id="rId576" display="https://youxelteam.visualstudio.com/CheckNow/_workitems/edit/252825/?view=edit" xr:uid="{AB66AA52-EEAC-BF46-920B-DF15B4036408}"/>
    <hyperlink ref="C592" r:id="rId577" display="https://youxelteam.visualstudio.com/CheckNow/_workitems/edit/252825/?view=edit" xr:uid="{A463E4D6-B22A-0246-9C12-43EBF9CC5B3C}"/>
    <hyperlink ref="C593" r:id="rId578" display="https://youxelteam.visualstudio.com/CheckNow/_workitems/edit/252825/?view=edit" xr:uid="{9AE894DE-C2FE-E04E-AB21-546E63B27D6F}"/>
    <hyperlink ref="C594" r:id="rId579" display="https://youxelteam.visualstudio.com/CheckNow/_workitems/edit/252825/?view=edit" xr:uid="{57635397-2966-5F44-8406-8391715B64F2}"/>
    <hyperlink ref="C595" r:id="rId580" display="https://youxelteam.visualstudio.com/CheckNow/_workitems/edit/252825/?view=edit" xr:uid="{6B6EEC04-80AA-6640-9ACC-75D29359361A}"/>
    <hyperlink ref="C596" r:id="rId581" display="https://youxelteam.visualstudio.com/CheckNow/_workitems/edit/252825/?view=edit" xr:uid="{22FA4BF7-AEA4-634F-B35A-F7772BBC0722}"/>
    <hyperlink ref="C597" r:id="rId582" display="https://youxelteam.visualstudio.com/CheckNow/_workitems/edit/252825/?view=edit" xr:uid="{274E6C10-E507-CB46-A650-E14B37C14028}"/>
    <hyperlink ref="C598" r:id="rId583" display="https://youxelteam.visualstudio.com/CheckNow/_workitems/edit/252825/?view=edit" xr:uid="{CB6AACAC-4D54-3045-89D0-CC3E2D2FA76B}"/>
    <hyperlink ref="C599" r:id="rId584" display="https://youxelteam.visualstudio.com/CheckNow/_workitems/edit/252825/?view=edit" xr:uid="{839CA8C6-62C6-2848-B7E8-4416D0C2F3A6}"/>
    <hyperlink ref="C600" r:id="rId585" display="https://youxelteam.visualstudio.com/CheckNow/_workitems/edit/252825/?view=edit" xr:uid="{4B9A2548-23D4-1A45-AEFF-DE83AF6BAA2E}"/>
    <hyperlink ref="C601" r:id="rId586" display="https://youxelteam.visualstudio.com/CheckNow/_workitems/edit/252825/?view=edit" xr:uid="{892DDF6C-E343-E246-9DD2-A4952E47FCD6}"/>
    <hyperlink ref="C602" r:id="rId587" display="https://youxelteam.visualstudio.com/CheckNow/_workitems/edit/252825/?view=edit" xr:uid="{90CC82AE-9EF3-F645-863C-D21C35283DF8}"/>
    <hyperlink ref="C603" r:id="rId588" display="https://youxelteam.visualstudio.com/CheckNow/_workitems/edit/252825/?view=edit" xr:uid="{D74831E6-C94C-0C41-B96B-9CF3B1F3C1E4}"/>
    <hyperlink ref="C604" r:id="rId589" display="https://youxelteam.visualstudio.com/CheckNow/_workitems/edit/252825/?view=edit" xr:uid="{63CCDA48-A015-A541-9DBA-A3A31E606770}"/>
    <hyperlink ref="C605" r:id="rId590" display="https://youxelteam.visualstudio.com/CheckNow/_workitems/edit/252825/?view=edit" xr:uid="{8EDC2B7F-5353-A340-AA39-124259BD488E}"/>
    <hyperlink ref="C606" r:id="rId591" display="https://youxelteam.visualstudio.com/CheckNow/_workitems/edit/252825/?view=edit" xr:uid="{7B0FA89E-E6E1-474C-A606-283647053CAE}"/>
    <hyperlink ref="C607" r:id="rId592" display="https://youxelteam.visualstudio.com/CheckNow/_workitems/edit/252825/?view=edit" xr:uid="{07FBF2C6-F732-4345-A421-AA3894FBD56A}"/>
    <hyperlink ref="C608" r:id="rId593" display="https://youxelteam.visualstudio.com/CheckNow/_workitems/edit/252825/?view=edit" xr:uid="{CF929DA2-BBD8-8F42-BD13-59A3A1DD1FE0}"/>
    <hyperlink ref="C609" r:id="rId594" display="https://youxelteam.visualstudio.com/CheckNow/_workitems/edit/252825/?view=edit" xr:uid="{F8FE704F-785D-6547-B5CF-3020B47DBCE9}"/>
    <hyperlink ref="C610" r:id="rId595" display="https://youxelteam.visualstudio.com/CheckNow/_workitems/edit/252825/?view=edit" xr:uid="{060CFF96-696A-2840-928F-45B68AD280DB}"/>
    <hyperlink ref="C611" r:id="rId596" display="https://youxelteam.visualstudio.com/CheckNow/_workitems/edit/252825/?view=edit" xr:uid="{CC5AFAE9-C3C5-1B4B-A501-782E5A33D429}"/>
    <hyperlink ref="C612" r:id="rId597" display="https://youxelteam.visualstudio.com/CheckNow/_workitems/edit/252825/?view=edit" xr:uid="{92D7B4FD-2E60-574D-ABA6-4477C213C7EF}"/>
    <hyperlink ref="C613" r:id="rId598" display="https://youxelteam.visualstudio.com/CheckNow/_workitems/edit/262102/?view=edit" xr:uid="{DA8C6832-B049-9C45-A49D-D28A902F1BC8}"/>
    <hyperlink ref="C614" r:id="rId599" display="https://youxelteam.visualstudio.com/CheckNow/_workitems/edit/260487/?view=edit" xr:uid="{2D8CD01A-F7FF-0842-A4A2-0F09F25389FF}"/>
    <hyperlink ref="C615" r:id="rId600" display="https://youxelteam.visualstudio.com/CheckNow/_workitems/edit/263833/?view=edit" xr:uid="{AFD249DB-E5AE-1A48-8C73-4D86561522B5}"/>
    <hyperlink ref="C616" r:id="rId601" display="https://youxelteam.visualstudio.com/CheckNow/_workitems/edit/263833/?view=edit" xr:uid="{A62B59F9-495B-784E-842A-A54EB202A68E}"/>
    <hyperlink ref="C617" r:id="rId602" display="https://youxelteam.visualstudio.com/CheckNow/_workitems/edit/263833/?view=edit" xr:uid="{9AFE5642-B823-0747-8042-8233A6F816AC}"/>
    <hyperlink ref="C618" r:id="rId603" display="https://youxelteam.visualstudio.com/CheckNow/_workitems/edit/263833/?view=edit" xr:uid="{2B6DF631-17EF-A342-8E90-F90F47DD88BA}"/>
    <hyperlink ref="C619" r:id="rId604" display="https://youxelteam.visualstudio.com/CheckNow/_workitems/edit/263833/?view=edit" xr:uid="{D9149010-4BF1-394F-9424-541EE1716A99}"/>
    <hyperlink ref="C620" r:id="rId605" display="https://youxelteam.visualstudio.com/CheckNow/_workitems/edit/263833/?view=edit" xr:uid="{8E9540AC-8535-F14C-954F-59EC8E5BB9C7}"/>
    <hyperlink ref="C621" r:id="rId606" display="https://youxelteam.visualstudio.com/CheckNow/_workitems/edit/263833/?view=edit" xr:uid="{E3154162-A46A-E94A-8CFF-7F3AB3DEFAB6}"/>
    <hyperlink ref="C622" r:id="rId607" display="https://youxelteam.visualstudio.com/CheckNow/_workitems/edit/263833/?view=edit" xr:uid="{2ADB4A3B-2DBB-4D49-ADD0-60DC60B5DC74}"/>
    <hyperlink ref="C623" r:id="rId608" display="https://youxelteam.visualstudio.com/CheckNow/_workitems/edit/263833/?view=edit" xr:uid="{B6670E40-60C6-E140-B913-E689CEF91320}"/>
    <hyperlink ref="C627" r:id="rId609" display="https://youxelteam.visualstudio.com/CheckNow/_workitems/edit/242628/?view=edit" xr:uid="{22614C40-5032-394A-8E71-9CC48AC0235B}"/>
    <hyperlink ref="C628" r:id="rId610" display="https://youxelteam.visualstudio.com/CheckNow/_workitems/edit/242628/?view=edit" xr:uid="{0CD68F02-005E-CE4B-9ED6-232EB27BE390}"/>
    <hyperlink ref="C629" r:id="rId611" display="https://youxelteam.visualstudio.com/CheckNow/_workitems/edit/242628/?view=edit" xr:uid="{172F770F-3E41-FD48-A15A-8D35D36E7B08}"/>
    <hyperlink ref="C630" r:id="rId612" display="https://youxelteam.visualstudio.com/CheckNow/_workitems/edit/242628/?view=edit" xr:uid="{AB3FF520-C7C9-CA4C-B208-18B83BB4FC87}"/>
    <hyperlink ref="C631" r:id="rId613" display="https://youxelteam.visualstudio.com/CheckNow/_workitems/edit/247747/?view=edit" xr:uid="{83930339-D76B-B149-A38C-6B9D22C7FFCF}"/>
    <hyperlink ref="C632" r:id="rId614" display="https://youxelteam.visualstudio.com/CheckNow/_workitems/edit/247748/?view=edit" xr:uid="{9FFDCB6C-580C-5F44-A873-17019ED5DC44}"/>
    <hyperlink ref="C633" r:id="rId615" display="https://youxelteam.visualstudio.com/CheckNow/_workitems/edit/244764/?view=edit" xr:uid="{3F1C2FEB-0FA8-F04A-9EBF-723E53FA3960}"/>
    <hyperlink ref="C634" r:id="rId616" display="https://youxelteam.visualstudio.com/CheckNow/_workitems/edit/244770/?view=edit" xr:uid="{E326947C-12F9-1245-A4AE-E4E04268FD9F}"/>
    <hyperlink ref="C638" r:id="rId617" display="https://youxelteam.visualstudio.com/CheckNow/_workitems/edit/260177/?view=edit" xr:uid="{99A36B27-B7D7-C743-BDAE-675F909F1676}"/>
    <hyperlink ref="C639" r:id="rId618" display="https://youxelteam.visualstudio.com/CheckNow/_workitems/edit/260177/?view=edit" xr:uid="{049E909D-10C6-704A-B0ED-2FBF50B484D6}"/>
    <hyperlink ref="C640" r:id="rId619" display="https://youxelteam.visualstudio.com/CheckNow/_workitems/edit/251892/?view=edit" xr:uid="{23828832-D6BD-974C-8536-61D29ABCC6AF}"/>
    <hyperlink ref="C641" r:id="rId620" display="https://youxelteam.visualstudio.com/CheckNow/_workitems/edit/251892/?view=edit" xr:uid="{36CBF249-BB54-404A-A7BE-EB26CCFBEB11}"/>
    <hyperlink ref="C642" r:id="rId621" display="https://youxelteam.visualstudio.com/CheckNow/_workitems/edit/233816/?view=edit" xr:uid="{C21E8654-63C4-794A-9BC0-E8234FF9C0B8}"/>
    <hyperlink ref="C643" r:id="rId622" display="https://youxelteam.visualstudio.com/CheckNow/_workitems/edit/233934/?view=edit" xr:uid="{DD7DC92E-F078-8347-A618-549DCDAA2C50}"/>
    <hyperlink ref="C644" r:id="rId623" display="https://youxelteam.visualstudio.com/CheckNow/_workitems/edit/255495/?view=edit" xr:uid="{8E49FC95-8CD3-AB4F-AE3C-16F985B44EBD}"/>
    <hyperlink ref="C645" r:id="rId624" display="https://youxelteam.visualstudio.com/CheckNow/_workitems/edit/255495/?view=edit" xr:uid="{6DBB8656-9D59-4040-97C2-77DA214A5279}"/>
    <hyperlink ref="C646" r:id="rId625" display="https://youxelteam.visualstudio.com/CheckNow/_workitems/edit/250832/?view=edit" xr:uid="{411A6A29-7D42-7843-AC0C-67324F0087CE}"/>
    <hyperlink ref="C647" r:id="rId626" display="https://youxelteam.visualstudio.com/CheckNow/_workitems/edit/250832/?view=edit" xr:uid="{76A7BADC-4C91-0743-BB73-65F6D8D5D9DC}"/>
    <hyperlink ref="C648" r:id="rId627" display="https://youxelteam.visualstudio.com/CheckNow/_workitems/edit/250832/?view=edit" xr:uid="{051FF576-A8A4-C84F-9920-50F293BD0E70}"/>
    <hyperlink ref="C649" r:id="rId628" display="https://youxelteam.visualstudio.com/CheckNow/_workitems/edit/250832/?view=edit" xr:uid="{13937E39-8D04-654E-8CEE-DBD1ED0BFC9D}"/>
    <hyperlink ref="C650" r:id="rId629" display="https://youxelteam.visualstudio.com/CheckNow/_workitems/edit/250832/?view=edit" xr:uid="{B0AF974B-B235-5246-A6E6-D3B69CE2552C}"/>
    <hyperlink ref="C651" r:id="rId630" display="https://youxelteam.visualstudio.com/CheckNow/_workitems/edit/250832/?view=edit" xr:uid="{D59F6608-6C58-3D4B-A08D-452DAC3DD3EE}"/>
    <hyperlink ref="C652" r:id="rId631" display="https://youxelteam.visualstudio.com/CheckNow/_workitems/edit/250832/?view=edit" xr:uid="{1E5149A0-73AC-804D-8588-CE9E86AA02D0}"/>
    <hyperlink ref="C653" r:id="rId632" display="https://youxelteam.visualstudio.com/CheckNow/_workitems/edit/250832/?view=edit" xr:uid="{B4F54E3B-1866-B14E-88C3-D367E812B402}"/>
    <hyperlink ref="C654" r:id="rId633" display="https://youxelteam.visualstudio.com/CheckNow/_workitems/edit/250832/?view=edit" xr:uid="{3B46A4A0-F0E2-CF4B-AD61-A58B9C8F4CD0}"/>
    <hyperlink ref="C655" r:id="rId634" display="https://youxelteam.visualstudio.com/CheckNow/_workitems/edit/250832/?view=edit" xr:uid="{9D63ACED-64AF-DF40-940A-5788DA01C8CA}"/>
    <hyperlink ref="C656" r:id="rId635" display="https://youxelteam.visualstudio.com/CheckNow/_workitems/edit/250832/?view=edit" xr:uid="{919EF979-90E1-CF43-A4D6-852A8D9D9D0D}"/>
    <hyperlink ref="C657" r:id="rId636" display="https://youxelteam.visualstudio.com/CheckNow/_workitems/edit/250832/?view=edit" xr:uid="{06E4B379-AFE2-804B-A839-8C3E8C3DB55A}"/>
    <hyperlink ref="C658" r:id="rId637" display="https://youxelteam.visualstudio.com/CheckNow/_workitems/edit/250832/?view=edit" xr:uid="{6A4683F9-5610-8444-9EC3-103689F8B8DA}"/>
    <hyperlink ref="C659" r:id="rId638" display="https://youxelteam.visualstudio.com/CheckNow/_workitems/edit/250832/?view=edit" xr:uid="{F4CA18EB-71AC-8C4C-BC3B-F12D48F96098}"/>
    <hyperlink ref="C660" r:id="rId639" display="https://youxelteam.visualstudio.com/CheckNow/_workitems/edit/250832/?view=edit" xr:uid="{EEA3ABA9-D2BE-2146-9585-CE14879088A7}"/>
    <hyperlink ref="C661" r:id="rId640" display="https://youxelteam.visualstudio.com/CheckNow/_workitems/edit/250832/?view=edit" xr:uid="{6460277B-D63E-9046-9CEC-E173255802ED}"/>
    <hyperlink ref="C662" r:id="rId641" display="https://youxelteam.visualstudio.com/CheckNow/_workitems/edit/250832/?view=edit" xr:uid="{B07ABEC8-3195-C04D-AD34-FB03BEBDF999}"/>
    <hyperlink ref="C663" r:id="rId642" display="https://youxelteam.visualstudio.com/CheckNow/_workitems/edit/250832/?view=edit" xr:uid="{22D62FEA-FB27-DD42-A48B-6378CB4D87B4}"/>
    <hyperlink ref="C664" r:id="rId643" display="https://youxelteam.visualstudio.com/CheckNow/_workitems/edit/250832/?view=edit" xr:uid="{5F45E277-0F82-824C-BF64-654A4C58515C}"/>
    <hyperlink ref="C665" r:id="rId644" display="https://youxelteam.visualstudio.com/CheckNow/_workitems/edit/250832/?view=edit" xr:uid="{45F21455-2306-5B4D-8C9F-F5049BD2A7D1}"/>
    <hyperlink ref="C666" r:id="rId645" display="https://youxelteam.visualstudio.com/CheckNow/_workitems/edit/250832/?view=edit" xr:uid="{85B04D11-7CFC-7D4E-8B99-99C9C571DB1B}"/>
    <hyperlink ref="C667" r:id="rId646" display="https://youxelteam.visualstudio.com/CheckNow/_workitems/edit/250832/?view=edit" xr:uid="{F5A359B1-9C35-B741-B0F9-5FDB539851E8}"/>
    <hyperlink ref="C668" r:id="rId647" display="https://youxelteam.visualstudio.com/CheckNow/_workitems/edit/250832/?view=edit" xr:uid="{28EAED93-41B2-6E42-A03D-1CF6C1EE9BF9}"/>
    <hyperlink ref="C669" r:id="rId648" display="https://youxelteam.visualstudio.com/CheckNow/_workitems/edit/250832/?view=edit" xr:uid="{90639E56-C4B9-1845-9155-E1AAC5CB5250}"/>
    <hyperlink ref="C670" r:id="rId649" display="https://youxelteam.visualstudio.com/CheckNow/_workitems/edit/250832/?view=edit" xr:uid="{4B898DDE-47EC-0A42-9467-4FAC5E062DD4}"/>
    <hyperlink ref="C671" r:id="rId650" display="https://youxelteam.visualstudio.com/CheckNow/_workitems/edit/242628/?view=edit" xr:uid="{B26CD743-D5F0-264B-95BE-532475B06513}"/>
    <hyperlink ref="C672" r:id="rId651" display="https://youxelteam.visualstudio.com/CheckNow/_workitems/edit/242628/?view=edit" xr:uid="{202F932F-D46C-1F41-85FC-5A1EECCAF02B}"/>
    <hyperlink ref="C673" r:id="rId652" display="https://youxelteam.visualstudio.com/CheckNow/_workitems/edit/247747/?view=edit" xr:uid="{42FDDFD3-1901-1D49-9F50-53BEECC604A9}"/>
    <hyperlink ref="C674" r:id="rId653" display="https://youxelteam.visualstudio.com/CheckNow/_workitems/edit/247747/?view=edit" xr:uid="{430A78FF-E849-4348-8891-E87356179E98}"/>
    <hyperlink ref="C675" r:id="rId654" display="https://youxelteam.visualstudio.com/CheckNow/_workitems/edit/244767/?view=edit" xr:uid="{D1E9B656-5679-2845-8018-B32F8F2A8FFD}"/>
    <hyperlink ref="C676" r:id="rId655" display="https://youxelteam.visualstudio.com/CheckNow/_workitems/edit/244767/?view=edit" xr:uid="{A6831617-6CE8-1148-B6DE-75C9514BBC72}"/>
    <hyperlink ref="C677" r:id="rId656" display="https://youxelteam.visualstudio.com/CheckNow/_workitems/edit/244767/?view=edit" xr:uid="{218611A0-03D3-3845-8681-D2DA33A03A1B}"/>
    <hyperlink ref="C678" r:id="rId657" display="https://youxelteam.visualstudio.com/CheckNow/_workitems/edit/244767/?view=edit" xr:uid="{ACE565F5-076E-BA40-A864-E27C3F8A7F6F}"/>
    <hyperlink ref="C679" r:id="rId658" display="https://youxelteam.visualstudio.com/CheckNow/_workitems/edit/244767/?view=edit" xr:uid="{8D85355B-0D6E-B04A-88FD-0D43E14BB235}"/>
    <hyperlink ref="C680" r:id="rId659" display="https://youxelteam.visualstudio.com/CheckNow/_workitems/edit/244767/?view=edit" xr:uid="{C1FFE017-C6F5-734B-8C90-970262444622}"/>
    <hyperlink ref="C681" r:id="rId660" display="https://youxelteam.visualstudio.com/CheckNow/_workitems/edit/244767/?view=edit" xr:uid="{A094ADD5-3BAB-534A-BDE2-95D23CAE6D2B}"/>
    <hyperlink ref="C682" r:id="rId661" display="https://youxelteam.visualstudio.com/CheckNow/_workitems/edit/244767/?view=edit" xr:uid="{1220CB7A-3E33-D446-ACCA-519D7A365612}"/>
    <hyperlink ref="C683" r:id="rId662" display="https://youxelteam.visualstudio.com/CheckNow/_workitems/edit/244764/?view=edit" xr:uid="{D6ADC01B-6885-AB42-B3A1-FC8E192C7D2A}"/>
    <hyperlink ref="C684" r:id="rId663" display="https://youxelteam.visualstudio.com/CheckNow/_workitems/edit/244764/?view=edit" xr:uid="{8C683685-462A-DC41-A224-7496B3E26048}"/>
    <hyperlink ref="C685" r:id="rId664" display="https://youxelteam.visualstudio.com/CheckNow/_workitems/edit/244770/?view=edit" xr:uid="{BF08D735-8152-1342-ACAD-17A180D86FA8}"/>
    <hyperlink ref="C686" r:id="rId665" display="https://youxelteam.visualstudio.com/CheckNow/_workitems/edit/242629/?view=edit" xr:uid="{F4840666-3068-0C4E-9E4B-9DC1782D8044}"/>
    <hyperlink ref="C687" r:id="rId666" display="https://youxelteam.visualstudio.com/CheckNow/_workitems/edit/242629/?view=edit" xr:uid="{328C6F50-EB49-FE41-86E3-6F5A969ACF28}"/>
    <hyperlink ref="C688" r:id="rId667" display="https://youxelteam.visualstudio.com/CheckNow/_workitems/edit/242629/?view=edit" xr:uid="{425D3DC2-2BD2-0E47-9E20-73A4E8D4C68B}"/>
    <hyperlink ref="C689" r:id="rId668" display="https://youxelteam.visualstudio.com/CheckNow/_workitems/edit/242629/?view=edit" xr:uid="{E349A532-29E3-7249-9653-69CE5C2AF025}"/>
    <hyperlink ref="C690" r:id="rId669" display="https://youxelteam.visualstudio.com/CheckNow/_workitems/edit/244768/?view=edit" xr:uid="{8747AC0D-62EF-CD41-B323-77909DBBEAA4}"/>
    <hyperlink ref="C691" r:id="rId670" display="https://youxelteam.visualstudio.com/CheckNow/_workitems/edit/244768/?view=edit" xr:uid="{7BC99384-6126-A542-B432-E36479E01577}"/>
    <hyperlink ref="C692" r:id="rId671" display="https://youxelteam.visualstudio.com/CheckNow/_workitems/edit/244768/?view=edit" xr:uid="{1D8B5A96-0E2E-7645-A5F3-4BDB893737B1}"/>
    <hyperlink ref="C693" r:id="rId672" display="https://youxelteam.visualstudio.com/CheckNow/_workitems/edit/244768/?view=edit" xr:uid="{B3A91E04-C180-F844-95AA-3F47164B4E2B}"/>
    <hyperlink ref="C694" r:id="rId673" display="https://youxelteam.visualstudio.com/CheckNow/_workitems/edit/244768/?view=edit" xr:uid="{F5D41595-3912-5745-9D39-BFEA3B0AE6CA}"/>
    <hyperlink ref="C695" r:id="rId674" display="https://youxelteam.visualstudio.com/CheckNow/_workitems/edit/244768/?view=edit" xr:uid="{F9B47A7D-E785-354E-BE5B-EE1C4575CA1B}"/>
    <hyperlink ref="C696" r:id="rId675" display="https://youxelteam.visualstudio.com/CheckNow/_workitems/edit/244768/?view=edit" xr:uid="{E9165A30-83D8-8540-835D-C54C68D9F404}"/>
    <hyperlink ref="C697" r:id="rId676" display="https://youxelteam.visualstudio.com/CheckNow/_workitems/edit/244768/?view=edit" xr:uid="{555C429A-AA77-B946-833D-2F20699F9C41}"/>
    <hyperlink ref="C698" r:id="rId677" display="https://youxelteam.visualstudio.com/CheckNow/_workitems/edit/244768/?view=edit" xr:uid="{0628776D-2528-524D-9E5D-58DEC5063C34}"/>
    <hyperlink ref="C699" r:id="rId678" display="https://youxelteam.visualstudio.com/CheckNow/_workitems/edit/244772/?view=edit" xr:uid="{11DB0059-76A6-9F46-A21D-A66DBA70445A}"/>
    <hyperlink ref="C700" r:id="rId679" display="https://youxelteam.visualstudio.com/CheckNow/_workitems/edit/244772/?view=edit" xr:uid="{7F85D9DF-F5B4-9E4A-913E-E2022215D600}"/>
    <hyperlink ref="C701" r:id="rId680" display="https://youxelteam.visualstudio.com/CheckNow/_workitems/edit/244756/?view=edit" xr:uid="{03D94164-C61A-EB46-8159-5CD475D638AB}"/>
    <hyperlink ref="C702" r:id="rId681" display="https://youxelteam.visualstudio.com/CheckNow/_workitems/edit/244756/?view=edit" xr:uid="{495BAB74-68DE-9541-B599-BF6B62DA7485}"/>
    <hyperlink ref="C703" r:id="rId682" display="https://youxelteam.visualstudio.com/CheckNow/_workitems/edit/244756/?view=edit" xr:uid="{0B00A08F-3183-7A46-A15E-4E2F2D953CE4}"/>
    <hyperlink ref="C704" r:id="rId683" display="https://youxelteam.visualstudio.com/CheckNow/_workitems/edit/244761/?view=edit" xr:uid="{759B4083-B84C-4E40-8FB2-8072CE0CC94C}"/>
    <hyperlink ref="C705" r:id="rId684" display="https://youxelteam.visualstudio.com/CheckNow/_workitems/edit/244761/?view=edit" xr:uid="{5E69AEA5-E413-C34D-A9B5-4E6888761610}"/>
    <hyperlink ref="C706" r:id="rId685" display="https://youxelteam.visualstudio.com/CheckNow/_workitems/edit/244761/?view=edit" xr:uid="{EACA5D8F-31FE-904D-B29C-A547650F1FCB}"/>
    <hyperlink ref="C707" r:id="rId686" display="https://youxelteam.visualstudio.com/CheckNow/_workitems/edit/244761/?view=edit" xr:uid="{A93DBB57-A660-1242-905D-10D8D8ED5C4D}"/>
    <hyperlink ref="C708" r:id="rId687" display="https://youxelteam.visualstudio.com/CheckNow/_workitems/edit/244761/?view=edit" xr:uid="{785BC780-6530-CF4F-969D-02C84DFC5048}"/>
    <hyperlink ref="C709" r:id="rId688" display="https://youxelteam.visualstudio.com/CheckNow/_workitems/edit/244761/?view=edit" xr:uid="{0AC0801F-FAE6-D340-9DF0-6CD64DA5D264}"/>
    <hyperlink ref="C710" r:id="rId689" display="https://youxelteam.visualstudio.com/CheckNow/_workitems/edit/244757/?view=edit" xr:uid="{064439EF-1AFC-DE49-B83C-0A7AB5A36220}"/>
    <hyperlink ref="C711" r:id="rId690" display="https://youxelteam.visualstudio.com/CheckNow/_workitems/edit/244757/?view=edit" xr:uid="{F605A011-C245-EA4A-8C1C-871933F4ECFC}"/>
    <hyperlink ref="C712" r:id="rId691" display="https://youxelteam.visualstudio.com/CheckNow/_workitems/edit/244758/?view=edit" xr:uid="{4424528D-6AE4-F44D-B638-5C85B857C90B}"/>
    <hyperlink ref="C713" r:id="rId692" display="https://youxelteam.visualstudio.com/CheckNow/_workitems/edit/244758/?view=edit" xr:uid="{4E2D76B6-6B36-5C40-9CF8-8553722BFC1A}"/>
    <hyperlink ref="C714" r:id="rId693" display="https://youxelteam.visualstudio.com/CheckNow/_workitems/edit/244758/?view=edit" xr:uid="{B02FCF38-D7C5-7B46-834D-CA5924D679C6}"/>
    <hyperlink ref="C715" r:id="rId694" display="https://youxelteam.visualstudio.com/CheckNow/_workitems/edit/263834/?view=edit" xr:uid="{6065B881-F09F-2042-98C3-AB821A462B61}"/>
    <hyperlink ref="C716" r:id="rId695" display="https://youxelteam.visualstudio.com/CheckNow/_workitems/edit/263834/?view=edit" xr:uid="{4EDF5826-015B-2B4D-88EF-80B059E809D1}"/>
    <hyperlink ref="C717" r:id="rId696" display="https://youxelteam.visualstudio.com/CheckNow/_workitems/edit/263834/?view=edit" xr:uid="{40FD1AA9-0EC4-AB46-AF67-E0745E3FB52D}"/>
    <hyperlink ref="C718" r:id="rId697" display="https://youxelteam.visualstudio.com/CheckNow/_workitems/edit/263834/?view=edit" xr:uid="{8A30487F-E302-D846-B75B-634F9D0E64AB}"/>
    <hyperlink ref="C719" r:id="rId698" display="https://youxelteam.visualstudio.com/CheckNow/_workitems/edit/264506/?view=edit" xr:uid="{00A9EF20-F18A-1744-BD13-21E2296DE770}"/>
    <hyperlink ref="C720" r:id="rId699" display="https://youxelteam.visualstudio.com/CheckNow/_workitems/edit/264506/?view=edit" xr:uid="{5A2F3DFB-98CB-C74A-A474-3ABAA59D24E6}"/>
    <hyperlink ref="C721" r:id="rId700" display="https://youxelteam.visualstudio.com/CheckNow/_workitems/edit/247302/?view=edit" xr:uid="{73F3F5B0-F876-9749-8218-5C161DF74819}"/>
    <hyperlink ref="C722" r:id="rId701" display="https://youxelteam.visualstudio.com/CheckNow/_workitems/edit/253676/?view=edit" xr:uid="{9559948D-2258-C245-B000-FD8D783377B0}"/>
    <hyperlink ref="C723" r:id="rId702" display="https://youxelteam.visualstudio.com/CheckNow/_workitems/edit/253676/?view=edit" xr:uid="{AEE03E0E-96C2-A643-A6CC-B7DA4B0BFA2F}"/>
    <hyperlink ref="C724" r:id="rId703" display="https://youxelteam.visualstudio.com/CheckNow/_workitems/edit/253676/?view=edit" xr:uid="{E6C40C5C-9B18-E34E-8857-A3BB801637CC}"/>
    <hyperlink ref="C725" r:id="rId704" display="https://youxelteam.visualstudio.com/CheckNow/_workitems/edit/253676/?view=edit" xr:uid="{6799B5B8-E2A1-384D-BB2A-6883CBD6F50B}"/>
    <hyperlink ref="C726" r:id="rId705" display="https://youxelteam.visualstudio.com/CheckNow/_workitems/edit/247315/?view=edit" xr:uid="{EBF90B6C-3A0B-9549-9D0A-69C47C12E043}"/>
    <hyperlink ref="C727" r:id="rId706" display="https://youxelteam.visualstudio.com/CheckNow/_workitems/edit/247312/?view=edit" xr:uid="{486C6E5A-41E4-024B-BC9D-2269FFC26AA0}"/>
    <hyperlink ref="C728" r:id="rId707" display="https://youxelteam.visualstudio.com/CheckNow/_workitems/edit/247310/?view=edit" xr:uid="{5EC9B44A-016E-774A-A144-C3BA40EEB528}"/>
    <hyperlink ref="C729" r:id="rId708" display="https://youxelteam.visualstudio.com/CheckNow/_workitems/edit/247310/?view=edit" xr:uid="{1ECF9221-584E-DB45-97C5-F4CD89B1A09B}"/>
    <hyperlink ref="C730" r:id="rId709" display="https://youxelteam.visualstudio.com/CheckNow/_workitems/edit/247310/?view=edit" xr:uid="{79F811AD-D112-D24A-9705-FA18AF35C50C}"/>
    <hyperlink ref="C731" r:id="rId710" display="https://youxelteam.visualstudio.com/CheckNow/_workitems/edit/252836/?view=edit" xr:uid="{52404B90-785C-0747-B462-8629CD784A79}"/>
    <hyperlink ref="C732" r:id="rId711" display="https://youxelteam.visualstudio.com/CheckNow/_workitems/edit/252836/?view=edit" xr:uid="{220D7B26-7AA9-A945-B5E4-1EC410F40906}"/>
    <hyperlink ref="C733" r:id="rId712" display="https://youxelteam.visualstudio.com/CheckNow/_workitems/edit/252836/?view=edit" xr:uid="{859376C2-428A-6146-AF6D-CAF64162B129}"/>
    <hyperlink ref="C734" r:id="rId713" display="https://youxelteam.visualstudio.com/CheckNow/_workitems/edit/252836/?view=edit" xr:uid="{4E737BDC-EA8E-9B48-81A7-239D2C4114C4}"/>
    <hyperlink ref="C735" r:id="rId714" display="https://youxelteam.visualstudio.com/CheckNow/_workitems/edit/264492/?view=edit" xr:uid="{069988EA-CF14-9842-96B3-6F17D3BF776C}"/>
    <hyperlink ref="C736" r:id="rId715" display="https://youxelteam.visualstudio.com/CheckNow/_workitems/edit/264492/?view=edit" xr:uid="{FDAF9B1C-1ABC-9642-BFC1-EDB7E7A3BD64}"/>
    <hyperlink ref="C737" r:id="rId716" display="https://youxelteam.visualstudio.com/CheckNow/_workitems/edit/264492/?view=edit" xr:uid="{DFDF5361-94BF-844E-84EC-8488631D8C57}"/>
    <hyperlink ref="C738" r:id="rId717" display="https://youxelteam.visualstudio.com/CheckNow/_workitems/edit/264492/?view=edit" xr:uid="{488106AB-1703-AC43-969E-049754B61FE4}"/>
    <hyperlink ref="C739" r:id="rId718" display="https://youxelteam.visualstudio.com/CheckNow/_workitems/edit/264492/?view=edit" xr:uid="{44C3890B-61B3-D740-8BB4-5223BF9F57FE}"/>
    <hyperlink ref="C740" r:id="rId719" display="https://youxelteam.visualstudio.com/CheckNow/_workitems/edit/264492/?view=edit" xr:uid="{24B2FB21-C223-4149-8CA5-FA8A4A2540CE}"/>
    <hyperlink ref="C741" r:id="rId720" display="https://youxelteam.visualstudio.com/CheckNow/_workitems/edit/264494/?view=edit" xr:uid="{ECC23134-C909-AF4F-A33B-550E2371DB9A}"/>
    <hyperlink ref="C742" r:id="rId721" display="https://youxelteam.visualstudio.com/CheckNow/_workitems/edit/264494/?view=edit" xr:uid="{2C72A4B5-3495-1044-B862-722117FC8654}"/>
    <hyperlink ref="C743" r:id="rId722" display="https://youxelteam.visualstudio.com/CheckNow/_workitems/edit/252825/?view=edit" xr:uid="{06AE3018-37BE-C843-B6FE-F64F30ABB4E7}"/>
    <hyperlink ref="C744" r:id="rId723" display="https://youxelteam.visualstudio.com/CheckNow/_workitems/edit/252825/?view=edit" xr:uid="{690456A1-15CE-7C42-B863-3754FA477C28}"/>
    <hyperlink ref="C745" r:id="rId724" display="https://youxelteam.visualstudio.com/CheckNow/_workitems/edit/252825/?view=edit" xr:uid="{680AB4F8-5E88-354D-8088-DD0D83867C43}"/>
    <hyperlink ref="C746" r:id="rId725" display="https://youxelteam.visualstudio.com/CheckNow/_workitems/edit/252825/?view=edit" xr:uid="{5148BA0F-99EA-2B48-8839-30EE0637DC50}"/>
    <hyperlink ref="C747" r:id="rId726" display="https://youxelteam.visualstudio.com/CheckNow/_workitems/edit/252825/?view=edit" xr:uid="{90B0ABDB-55B0-E249-919A-8851A921B8E3}"/>
    <hyperlink ref="C748" r:id="rId727" display="https://youxelteam.visualstudio.com/CheckNow/_workitems/edit/252825/?view=edit" xr:uid="{70234D42-45B9-C842-986F-E61C09DE8E3A}"/>
    <hyperlink ref="C749" r:id="rId728" display="https://youxelteam.visualstudio.com/CheckNow/_workitems/edit/252825/?view=edit" xr:uid="{1E60EB6F-1A17-EE4A-8838-4259C9342D0E}"/>
    <hyperlink ref="C750" r:id="rId729" display="https://youxelteam.visualstudio.com/CheckNow/_workitems/edit/252825/?view=edit" xr:uid="{11769035-2CAD-C74B-973E-5D1D1F13B7B8}"/>
    <hyperlink ref="C751" r:id="rId730" display="https://youxelteam.visualstudio.com/CheckNow/_workitems/edit/252825/?view=edit" xr:uid="{F338E01F-EEB3-B04F-B182-8375AC692DD0}"/>
    <hyperlink ref="C752" r:id="rId731" display="https://youxelteam.visualstudio.com/CheckNow/_workitems/edit/252825/?view=edit" xr:uid="{AA00A159-B2A4-524C-8FE4-63732F0860A8}"/>
    <hyperlink ref="C753" r:id="rId732" display="https://youxelteam.visualstudio.com/CheckNow/_workitems/edit/252825/?view=edit" xr:uid="{9DF1A1DF-E250-EB43-B68D-973E881845DE}"/>
    <hyperlink ref="C754" r:id="rId733" display="https://youxelteam.visualstudio.com/CheckNow/_workitems/edit/252825/?view=edit" xr:uid="{AE81D6EF-73BF-5A4D-896F-E27DD5567151}"/>
    <hyperlink ref="C755" r:id="rId734" display="https://youxelteam.visualstudio.com/CheckNow/_workitems/edit/252825/?view=edit" xr:uid="{54A0F23E-F1D2-8D49-AC50-EE1729A9D409}"/>
    <hyperlink ref="C756" r:id="rId735" display="https://youxelteam.visualstudio.com/CheckNow/_workitems/edit/252825/?view=edit" xr:uid="{5582A3C7-B309-0944-8DDE-B74E258264D3}"/>
    <hyperlink ref="C757" r:id="rId736" display="https://youxelteam.visualstudio.com/CheckNow/_workitems/edit/252825/?view=edit" xr:uid="{0DD90A7C-E15A-AC46-A6D8-22D9ACEE0D7D}"/>
    <hyperlink ref="C758" r:id="rId737" display="https://youxelteam.visualstudio.com/CheckNow/_workitems/edit/252825/?view=edit" xr:uid="{C3BF9576-CE09-AD47-8825-7A71BD3F9E98}"/>
    <hyperlink ref="C759" r:id="rId738" display="https://youxelteam.visualstudio.com/CheckNow/_workitems/edit/252825/?view=edit" xr:uid="{1EBB9953-AFBF-4C4C-9AED-B5B41F2B57B2}"/>
    <hyperlink ref="C760" r:id="rId739" display="https://youxelteam.visualstudio.com/CheckNow/_workitems/edit/252825/?view=edit" xr:uid="{7CD5A6FD-55EA-2541-870F-286494E424F0}"/>
    <hyperlink ref="C761" r:id="rId740" display="https://youxelteam.visualstudio.com/CheckNow/_workitems/edit/252825/?view=edit" xr:uid="{5E9ACB1F-55D8-0F41-BFDF-9E2E3DF71FC5}"/>
    <hyperlink ref="C762" r:id="rId741" display="https://youxelteam.visualstudio.com/CheckNow/_workitems/edit/252825/?view=edit" xr:uid="{1C1CC493-13EC-1A42-9F38-38D8E7CA16F3}"/>
    <hyperlink ref="C763" r:id="rId742" display="https://youxelteam.visualstudio.com/CheckNow/_workitems/edit/252825/?view=edit" xr:uid="{4CCB4A32-5A03-8948-9E83-11E62EEE40CE}"/>
    <hyperlink ref="C764" r:id="rId743" display="https://youxelteam.visualstudio.com/CheckNow/_workitems/edit/252825/?view=edit" xr:uid="{0CEA3063-70C4-FD4B-910E-5A089EC7FEBA}"/>
    <hyperlink ref="C765" r:id="rId744" display="https://youxelteam.visualstudio.com/CheckNow/_workitems/edit/252825/?view=edit" xr:uid="{0E1523C0-F754-4041-A639-9291381C1905}"/>
    <hyperlink ref="C766" r:id="rId745" display="https://youxelteam.visualstudio.com/CheckNow/_workitems/edit/252825/?view=edit" xr:uid="{6680086E-BAAA-FF48-AD80-49E2808354C1}"/>
    <hyperlink ref="C767" r:id="rId746" display="https://youxelteam.visualstudio.com/CheckNow/_workitems/edit/252825/?view=edit" xr:uid="{69EEBC47-EEA2-B846-AB3B-C346EE30742D}"/>
    <hyperlink ref="C768" r:id="rId747" display="https://youxelteam.visualstudio.com/CheckNow/_workitems/edit/252825/?view=edit" xr:uid="{25B0D646-18CC-E14A-822D-FAA0C035ECFF}"/>
    <hyperlink ref="C769" r:id="rId748" display="https://youxelteam.visualstudio.com/CheckNow/_workitems/edit/252825/?view=edit" xr:uid="{3B8397C3-DDBC-9048-8019-D0EC4C755290}"/>
    <hyperlink ref="C770" r:id="rId749" display="https://youxelteam.visualstudio.com/CheckNow/_workitems/edit/252825/?view=edit" xr:uid="{6F0D27AF-215C-0F47-B549-099C49993BBF}"/>
    <hyperlink ref="C771" r:id="rId750" display="https://youxelteam.visualstudio.com/CheckNow/_workitems/edit/252825/?view=edit" xr:uid="{C7E12FBC-ED2F-CC44-BAAA-D360087363CD}"/>
    <hyperlink ref="C772" r:id="rId751" display="https://youxelteam.visualstudio.com/CheckNow/_workitems/edit/263833/?view=edit" xr:uid="{A1D63CBD-5E24-2B45-81F0-D5068B00F86D}"/>
    <hyperlink ref="C773" r:id="rId752" display="https://youxelteam.visualstudio.com/CheckNow/_workitems/edit/263833/?view=edit" xr:uid="{377DF3E0-3AD5-3045-854A-D9DCB20667E1}"/>
    <hyperlink ref="C774" r:id="rId753" display="https://youxelteam.visualstudio.com/CheckNow/_workitems/edit/263833/?view=edit" xr:uid="{A74B8E69-0820-B940-A0EA-F6395906270D}"/>
    <hyperlink ref="C775" r:id="rId754" display="https://youxelteam.visualstudio.com/CheckNow/_workitems/edit/263833/?view=edit" xr:uid="{8533E8FD-B035-014E-B64B-2A8987DBA729}"/>
    <hyperlink ref="C776" r:id="rId755" display="https://youxelteam.visualstudio.com/CheckNow/_workitems/edit/263833/?view=edit" xr:uid="{B1858E97-9830-DC43-969F-7F5089737163}"/>
    <hyperlink ref="C777" r:id="rId756" display="https://youxelteam.visualstudio.com/CheckNow/_workitems/edit/263833/?view=edit" xr:uid="{0A8593B3-0DBE-FC45-8C64-906695598610}"/>
    <hyperlink ref="C778" r:id="rId757" display="https://youxelteam.visualstudio.com/CheckNow/_workitems/edit/263833/?view=edit" xr:uid="{D0D82CFD-1E16-EE4B-9B14-BDA1DD9492B4}"/>
    <hyperlink ref="C779" r:id="rId758" display="https://youxelteam.visualstudio.com/CheckNow/_workitems/edit/263833/?view=edit" xr:uid="{1FB3A262-BBC6-3E41-AB5C-267A2AE446BA}"/>
    <hyperlink ref="C783" r:id="rId759" display="https://youxelteam.visualstudio.com/CheckNow/_workitems/edit/242628/?view=edit" xr:uid="{E70B3677-1A3C-C543-A8BB-8C5B4A93E23C}"/>
    <hyperlink ref="C784" r:id="rId760" display="https://youxelteam.visualstudio.com/CheckNow/_workitems/edit/242628/?view=edit" xr:uid="{20BF97E0-F1B9-9C47-9768-39F18C5065FA}"/>
    <hyperlink ref="C785" r:id="rId761" display="https://youxelteam.visualstudio.com/CheckNow/_workitems/edit/242628/?view=edit" xr:uid="{AD16F788-2604-FF4D-9C46-972EA5B6889A}"/>
    <hyperlink ref="C786" r:id="rId762" display="https://youxelteam.visualstudio.com/CheckNow/_workitems/edit/242628/?view=edit" xr:uid="{78D6EAA2-6E0E-3B4E-9DFA-06079B892328}"/>
    <hyperlink ref="C787" r:id="rId763" display="https://youxelteam.visualstudio.com/CheckNow/_workitems/edit/242628/?view=edit" xr:uid="{E7DC9D10-8E8D-4A43-97CE-5ACDC422E7A4}"/>
    <hyperlink ref="C788" r:id="rId764" display="https://youxelteam.visualstudio.com/CheckNow/_workitems/edit/247748/?view=edit" xr:uid="{9D3B5A4F-C6B9-BB48-8D69-1D04C97114E6}"/>
    <hyperlink ref="C789" r:id="rId765" display="https://youxelteam.visualstudio.com/CheckNow/_workitems/edit/247748/?view=edit" xr:uid="{210FAE67-CD01-0F41-9A2A-3E46DF1841C7}"/>
    <hyperlink ref="C790" r:id="rId766" display="https://youxelteam.visualstudio.com/CheckNow/_workitems/edit/244770/?view=edit" xr:uid="{553610DF-1265-1348-A09B-4A7095060E3D}"/>
    <hyperlink ref="C791" r:id="rId767" display="https://youxelteam.visualstudio.com/CheckNow/_workitems/edit/263534/?view=edit" xr:uid="{6FCE086B-911C-DA44-8AEE-3DB352377F75}"/>
    <hyperlink ref="C792" r:id="rId768" display="https://youxelteam.visualstudio.com/CheckNow/_workitems/edit/263534/?view=edit" xr:uid="{561CC59C-3940-FE43-AA7E-DE24E0231F43}"/>
    <hyperlink ref="C793" r:id="rId769" display="https://youxelteam.visualstudio.com/CheckNow/_workitems/edit/263534/?view=edit" xr:uid="{5C205EB9-7652-B742-8C83-2FD26C1E0600}"/>
    <hyperlink ref="C794" r:id="rId770" display="https://youxelteam.visualstudio.com/CheckNow/_workitems/edit/247302/?view=edit" xr:uid="{AABA8AA2-1EDA-F641-B710-94D23CB526D0}"/>
    <hyperlink ref="C795" r:id="rId771" display="https://youxelteam.visualstudio.com/CheckNow/_workitems/edit/247303/?view=edit" xr:uid="{322E347B-389F-D043-9814-A834E9077EB7}"/>
    <hyperlink ref="C796" r:id="rId772" display="https://youxelteam.visualstudio.com/CheckNow/_workitems/edit/247304/?view=edit" xr:uid="{4500C71E-9867-7E4E-9107-0D5CB630567A}"/>
    <hyperlink ref="C797" r:id="rId773" display="https://youxelteam.visualstudio.com/CheckNow/_workitems/edit/247305/?view=edit" xr:uid="{AE06187F-35AD-D344-95B8-6991AD47EA5C}"/>
    <hyperlink ref="C798" r:id="rId774" display="https://youxelteam.visualstudio.com/CheckNow/_workitems/edit/247306/?view=edit" xr:uid="{53EFF588-B4F3-6348-AB55-D5C40741F583}"/>
    <hyperlink ref="C799" r:id="rId775" display="https://youxelteam.visualstudio.com/CheckNow/_workitems/edit/247322/?view=edit" xr:uid="{8F51B0B1-3D10-DD48-B73F-9E48A76CE137}"/>
    <hyperlink ref="C800" r:id="rId776" display="https://youxelteam.visualstudio.com/CheckNow/_workitems/edit/247321/?view=edit" xr:uid="{03E1FA09-FFFB-0844-8DB1-2C6D6E342473}"/>
    <hyperlink ref="C801" r:id="rId777" display="https://youxelteam.visualstudio.com/CheckNow/_workitems/edit/247324/?view=edit" xr:uid="{6BCCDF75-12D7-B547-AF9D-9B94B77425E0}"/>
    <hyperlink ref="C802" r:id="rId778" display="https://youxelteam.visualstudio.com/CheckNow/_workitems/edit/247323/?view=edit" xr:uid="{ED10A5E7-58EB-094B-99B4-D13C8AA4EFB6}"/>
    <hyperlink ref="C803" r:id="rId779" display="https://youxelteam.visualstudio.com/CheckNow/_workitems/edit/247308/?view=edit" xr:uid="{2A93C98A-ED65-854E-879E-EDE3A538F3F0}"/>
    <hyperlink ref="C804" r:id="rId780" display="https://youxelteam.visualstudio.com/CheckNow/_workitems/edit/247313/?view=edit" xr:uid="{C2FBDDDE-600A-C74A-B3D8-8434DFE96BA2}"/>
    <hyperlink ref="C805" r:id="rId781" display="https://youxelteam.visualstudio.com/CheckNow/_workitems/edit/247314/?view=edit" xr:uid="{996CB95E-7655-2F40-B2FC-AF2A0089B9EF}"/>
    <hyperlink ref="C806" r:id="rId782" display="https://youxelteam.visualstudio.com/CheckNow/_workitems/edit/247316/?view=edit" xr:uid="{1B3A1747-34F8-2D4E-AB48-9E55659B031D}"/>
    <hyperlink ref="C807" r:id="rId783" display="https://youxelteam.visualstudio.com/CheckNow/_workitems/edit/247312/?view=edit" xr:uid="{357C7172-FC0E-7446-84EA-C803AEDA9AF5}"/>
    <hyperlink ref="C808" r:id="rId784" display="https://youxelteam.visualstudio.com/CheckNow/_workitems/edit/247319/?view=edit" xr:uid="{B73CA9DB-572D-FD4C-B161-5F52DB51080D}"/>
    <hyperlink ref="C809" r:id="rId785" display="https://youxelteam.visualstudio.com/CheckNow/_workitems/edit/247311/?view=edit" xr:uid="{2D71A61B-E7DA-0646-8371-A483EE4C8F74}"/>
    <hyperlink ref="C810" r:id="rId786" display="https://youxelteam.visualstudio.com/CheckNow/_workitems/edit/262102/?view=edit" xr:uid="{6788D6EE-B437-4443-B94B-A58ACBEE5E81}"/>
    <hyperlink ref="C811" r:id="rId787" display="https://youxelteam.visualstudio.com/CheckNow/_workitems/edit/260487/?view=edit" xr:uid="{49205DC0-3FB2-6F4F-AC6B-53C76153DF15}"/>
    <hyperlink ref="C812" r:id="rId788" display="https://youxelteam.visualstudio.com/CheckNow/_workitems/edit/263833/?view=edit" xr:uid="{E415B877-922E-694E-B17D-96B9C0634A30}"/>
    <hyperlink ref="C816" r:id="rId789" display="https://youxelteam.visualstudio.com/CheckNow/_workitems/edit/244770/?view=edit" xr:uid="{50D8C074-EC80-DE40-BD6D-4812D938E0F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66F8-A0FB-FA47-9D99-86A317909EFC}">
  <dimension ref="B2:U276"/>
  <sheetViews>
    <sheetView tabSelected="1" topLeftCell="A219" zoomScaleNormal="100" workbookViewId="0">
      <selection activeCell="G193" sqref="G193"/>
    </sheetView>
  </sheetViews>
  <sheetFormatPr baseColWidth="10" defaultRowHeight="15"/>
  <cols>
    <col min="2" max="2" width="42.83203125" bestFit="1" customWidth="1"/>
    <col min="3" max="3" width="71.5" bestFit="1" customWidth="1"/>
    <col min="4" max="4" width="18.5" customWidth="1"/>
    <col min="5" max="5" width="17.6640625" bestFit="1" customWidth="1"/>
    <col min="6" max="6" width="18.6640625" customWidth="1"/>
    <col min="7" max="7" width="16.83203125" bestFit="1" customWidth="1"/>
    <col min="8" max="8" width="19" bestFit="1" customWidth="1"/>
    <col min="9" max="9" width="15.83203125" bestFit="1" customWidth="1"/>
    <col min="10" max="10" width="15.33203125" bestFit="1" customWidth="1"/>
    <col min="11" max="11" width="10.33203125" bestFit="1" customWidth="1"/>
    <col min="12" max="12" width="10.1640625" bestFit="1" customWidth="1"/>
    <col min="13" max="13" width="11.83203125" bestFit="1" customWidth="1"/>
    <col min="14" max="14" width="13.5" bestFit="1" customWidth="1"/>
    <col min="15" max="15" width="42.83203125" bestFit="1" customWidth="1"/>
    <col min="16" max="16" width="17.33203125" bestFit="1" customWidth="1"/>
    <col min="17" max="17" width="20.1640625" customWidth="1"/>
    <col min="18" max="18" width="42.83203125" bestFit="1" customWidth="1"/>
    <col min="19" max="19" width="11.6640625" bestFit="1" customWidth="1"/>
    <col min="20" max="20" width="15.33203125" bestFit="1" customWidth="1"/>
    <col min="21" max="21" width="14.6640625" bestFit="1" customWidth="1"/>
  </cols>
  <sheetData>
    <row r="2" spans="2:8" ht="16">
      <c r="B2" s="11" t="s">
        <v>303</v>
      </c>
    </row>
    <row r="3" spans="2:8" ht="16">
      <c r="B3" s="12" t="s">
        <v>304</v>
      </c>
    </row>
    <row r="5" spans="2:8" ht="16">
      <c r="B5" s="16" t="s">
        <v>84</v>
      </c>
      <c r="C5" s="16" t="s">
        <v>302</v>
      </c>
    </row>
    <row r="6" spans="2:8" ht="16">
      <c r="B6" s="17" t="s">
        <v>86</v>
      </c>
      <c r="C6" s="18">
        <v>0</v>
      </c>
    </row>
    <row r="7" spans="2:8" ht="16">
      <c r="B7" s="17" t="s">
        <v>82</v>
      </c>
      <c r="C7" s="18">
        <f>D151</f>
        <v>2</v>
      </c>
    </row>
    <row r="8" spans="2:8" s="24" customFormat="1" ht="16">
      <c r="B8" s="17" t="s">
        <v>83</v>
      </c>
      <c r="C8" s="18">
        <f>D201</f>
        <v>10</v>
      </c>
      <c r="E8"/>
      <c r="F8"/>
      <c r="G8"/>
    </row>
    <row r="9" spans="2:8" ht="16">
      <c r="B9" s="17" t="s">
        <v>87</v>
      </c>
      <c r="C9" s="18">
        <v>57</v>
      </c>
    </row>
    <row r="10" spans="2:8" ht="16">
      <c r="B10" s="17" t="s">
        <v>88</v>
      </c>
      <c r="C10" s="18">
        <v>102</v>
      </c>
    </row>
    <row r="11" spans="2:8" ht="16">
      <c r="B11" s="17" t="s">
        <v>89</v>
      </c>
      <c r="C11" s="18">
        <v>569</v>
      </c>
    </row>
    <row r="12" spans="2:8" ht="16">
      <c r="B12" s="17" t="s">
        <v>90</v>
      </c>
      <c r="C12" s="18">
        <v>776.45999999999992</v>
      </c>
      <c r="H12" s="98"/>
    </row>
    <row r="13" spans="2:8" ht="16">
      <c r="B13" s="17" t="s">
        <v>91</v>
      </c>
      <c r="C13" s="18">
        <v>97</v>
      </c>
    </row>
    <row r="14" spans="2:8" ht="16">
      <c r="B14" s="17" t="s">
        <v>92</v>
      </c>
      <c r="C14" s="18">
        <v>99.5</v>
      </c>
    </row>
    <row r="15" spans="2:8" ht="16">
      <c r="B15" s="17" t="s">
        <v>93</v>
      </c>
      <c r="C15" s="18">
        <v>2</v>
      </c>
    </row>
    <row r="16" spans="2:8" ht="16">
      <c r="B16" s="17" t="s">
        <v>94</v>
      </c>
      <c r="C16" s="18">
        <f>D48</f>
        <v>875.96</v>
      </c>
    </row>
    <row r="17" spans="2:7" ht="16">
      <c r="B17" s="17" t="s">
        <v>95</v>
      </c>
      <c r="C17" s="18">
        <f>Capacity!G15</f>
        <v>680</v>
      </c>
    </row>
    <row r="19" spans="2:7" ht="16">
      <c r="B19" s="16" t="s">
        <v>96</v>
      </c>
      <c r="C19" s="16" t="s">
        <v>97</v>
      </c>
      <c r="D19" s="16" t="s">
        <v>98</v>
      </c>
      <c r="E19" s="16" t="s">
        <v>99</v>
      </c>
      <c r="F19" s="16" t="s">
        <v>100</v>
      </c>
    </row>
    <row r="20" spans="2:7" ht="32">
      <c r="B20" s="19" t="s">
        <v>291</v>
      </c>
      <c r="C20" s="5" t="s">
        <v>101</v>
      </c>
      <c r="D20" s="5" t="s">
        <v>102</v>
      </c>
      <c r="E20" s="5" t="s">
        <v>103</v>
      </c>
      <c r="F20" s="5" t="s">
        <v>104</v>
      </c>
    </row>
    <row r="21" spans="2:7" ht="48">
      <c r="B21" s="19" t="s">
        <v>105</v>
      </c>
      <c r="C21" s="20" t="s">
        <v>106</v>
      </c>
      <c r="D21" s="5" t="s">
        <v>107</v>
      </c>
      <c r="E21" s="5" t="s">
        <v>108</v>
      </c>
      <c r="F21" s="5" t="s">
        <v>109</v>
      </c>
    </row>
    <row r="22" spans="2:7" ht="48">
      <c r="B22" s="12" t="s">
        <v>110</v>
      </c>
      <c r="C22" s="5" t="s">
        <v>111</v>
      </c>
      <c r="D22" s="5" t="s">
        <v>112</v>
      </c>
      <c r="E22" s="5" t="s">
        <v>108</v>
      </c>
      <c r="F22" s="5" t="s">
        <v>113</v>
      </c>
    </row>
    <row r="23" spans="2:7" ht="64">
      <c r="B23" s="5" t="s">
        <v>86</v>
      </c>
      <c r="C23" s="5" t="s">
        <v>114</v>
      </c>
      <c r="D23" s="5" t="s">
        <v>115</v>
      </c>
      <c r="E23" s="5" t="s">
        <v>116</v>
      </c>
      <c r="F23" s="5" t="s">
        <v>117</v>
      </c>
    </row>
    <row r="24" spans="2:7" ht="48">
      <c r="B24" s="5" t="s">
        <v>176</v>
      </c>
      <c r="C24" s="5" t="s">
        <v>119</v>
      </c>
      <c r="D24" s="5" t="s">
        <v>120</v>
      </c>
      <c r="E24" s="5" t="s">
        <v>108</v>
      </c>
      <c r="F24" s="5" t="s">
        <v>121</v>
      </c>
    </row>
    <row r="25" spans="2:7" ht="64">
      <c r="B25" s="21" t="s">
        <v>122</v>
      </c>
      <c r="C25" s="21" t="s">
        <v>123</v>
      </c>
      <c r="D25" s="22" t="s">
        <v>124</v>
      </c>
      <c r="E25" s="21" t="s">
        <v>108</v>
      </c>
      <c r="F25" s="21" t="s">
        <v>125</v>
      </c>
    </row>
    <row r="27" spans="2:7" ht="16">
      <c r="B27" s="16" t="s">
        <v>171</v>
      </c>
      <c r="C27" s="16" t="s">
        <v>172</v>
      </c>
      <c r="D27" s="16" t="s">
        <v>173</v>
      </c>
      <c r="E27" s="16" t="s">
        <v>174</v>
      </c>
      <c r="F27" s="16" t="s">
        <v>146</v>
      </c>
      <c r="G27" s="16" t="s">
        <v>175</v>
      </c>
    </row>
    <row r="28" spans="2:7">
      <c r="B28" s="8" t="s">
        <v>418</v>
      </c>
      <c r="C28" s="8" t="s">
        <v>426</v>
      </c>
      <c r="D28" s="8" t="s">
        <v>419</v>
      </c>
      <c r="E28" s="92">
        <v>1.7895000000000001</v>
      </c>
      <c r="F28" s="8" t="s">
        <v>427</v>
      </c>
      <c r="G28" s="8" t="s">
        <v>438</v>
      </c>
    </row>
    <row r="29" spans="2:7">
      <c r="B29" s="8" t="s">
        <v>428</v>
      </c>
      <c r="C29" s="8" t="s">
        <v>429</v>
      </c>
      <c r="D29" s="8" t="s">
        <v>420</v>
      </c>
      <c r="E29" s="92">
        <v>0.73319999999999996</v>
      </c>
      <c r="F29" s="8" t="s">
        <v>430</v>
      </c>
      <c r="G29" s="8" t="s">
        <v>439</v>
      </c>
    </row>
    <row r="30" spans="2:7">
      <c r="B30" s="8" t="s">
        <v>110</v>
      </c>
      <c r="C30" s="8" t="s">
        <v>431</v>
      </c>
      <c r="D30" s="8" t="s">
        <v>421</v>
      </c>
      <c r="E30" s="92">
        <v>2.5999999999999999E-3</v>
      </c>
      <c r="F30" s="8" t="s">
        <v>113</v>
      </c>
      <c r="G30" s="8" t="s">
        <v>440</v>
      </c>
    </row>
    <row r="31" spans="2:7">
      <c r="B31" s="8" t="s">
        <v>86</v>
      </c>
      <c r="C31" s="8" t="s">
        <v>422</v>
      </c>
      <c r="D31" s="8" t="s">
        <v>432</v>
      </c>
      <c r="E31" s="8" t="s">
        <v>152</v>
      </c>
      <c r="F31" s="8" t="s">
        <v>433</v>
      </c>
      <c r="G31" s="8" t="s">
        <v>441</v>
      </c>
    </row>
    <row r="32" spans="2:7">
      <c r="B32" s="8" t="s">
        <v>176</v>
      </c>
      <c r="C32" s="8" t="s">
        <v>434</v>
      </c>
      <c r="D32" s="8" t="s">
        <v>423</v>
      </c>
      <c r="E32" s="92">
        <v>1.2882</v>
      </c>
      <c r="F32" s="8" t="s">
        <v>435</v>
      </c>
      <c r="G32" s="8" t="s">
        <v>442</v>
      </c>
    </row>
    <row r="33" spans="2:7">
      <c r="B33" s="8" t="s">
        <v>424</v>
      </c>
      <c r="C33" s="8" t="s">
        <v>436</v>
      </c>
      <c r="D33" s="8" t="s">
        <v>425</v>
      </c>
      <c r="E33" s="92">
        <v>0.36399999999999999</v>
      </c>
      <c r="F33" s="8" t="s">
        <v>437</v>
      </c>
      <c r="G33" s="8" t="s">
        <v>443</v>
      </c>
    </row>
    <row r="36" spans="2:7" ht="32">
      <c r="B36" s="16" t="s">
        <v>127</v>
      </c>
      <c r="C36" s="16" t="s">
        <v>131</v>
      </c>
      <c r="D36" s="16" t="s">
        <v>130</v>
      </c>
      <c r="E36" s="16" t="s">
        <v>129</v>
      </c>
    </row>
    <row r="37" spans="2:7">
      <c r="B37" s="26" t="s">
        <v>7</v>
      </c>
      <c r="C37" s="26">
        <v>26</v>
      </c>
      <c r="D37" s="26">
        <v>63</v>
      </c>
      <c r="E37" s="26">
        <v>10</v>
      </c>
    </row>
    <row r="38" spans="2:7">
      <c r="B38" s="26" t="s">
        <v>10</v>
      </c>
      <c r="C38" s="26">
        <v>56.5</v>
      </c>
      <c r="D38" s="26">
        <v>90</v>
      </c>
      <c r="E38" s="26">
        <v>9</v>
      </c>
    </row>
    <row r="39" spans="2:7">
      <c r="B39" s="26" t="s">
        <v>12</v>
      </c>
      <c r="C39" s="26">
        <v>12</v>
      </c>
      <c r="D39" s="26">
        <v>14</v>
      </c>
      <c r="E39" s="26">
        <v>1</v>
      </c>
    </row>
    <row r="40" spans="2:7">
      <c r="B40" s="26" t="s">
        <v>14</v>
      </c>
      <c r="C40" s="26">
        <v>97</v>
      </c>
      <c r="D40" s="26">
        <v>99.5</v>
      </c>
      <c r="E40" s="26">
        <v>7</v>
      </c>
    </row>
    <row r="41" spans="2:7">
      <c r="B41" s="26" t="s">
        <v>16</v>
      </c>
      <c r="C41" s="26">
        <v>48</v>
      </c>
      <c r="D41" s="26">
        <v>77</v>
      </c>
      <c r="E41" s="26">
        <v>0.5</v>
      </c>
    </row>
    <row r="42" spans="2:7">
      <c r="B42" s="26" t="s">
        <v>18</v>
      </c>
      <c r="C42" s="26">
        <v>94</v>
      </c>
      <c r="D42" s="26">
        <v>104</v>
      </c>
      <c r="E42" s="26">
        <v>0</v>
      </c>
    </row>
    <row r="43" spans="2:7">
      <c r="B43" s="26" t="s">
        <v>20</v>
      </c>
      <c r="C43" s="26">
        <v>64</v>
      </c>
      <c r="D43" s="26">
        <v>85</v>
      </c>
      <c r="E43" s="26">
        <v>0</v>
      </c>
    </row>
    <row r="44" spans="2:7">
      <c r="B44" s="26" t="s">
        <v>217</v>
      </c>
      <c r="C44" s="26">
        <v>64</v>
      </c>
      <c r="D44" s="26">
        <v>111.83</v>
      </c>
      <c r="E44" s="26">
        <v>9.25</v>
      </c>
    </row>
    <row r="45" spans="2:7">
      <c r="B45" s="26" t="s">
        <v>21</v>
      </c>
      <c r="C45" s="26">
        <v>49</v>
      </c>
      <c r="D45" s="26">
        <v>31</v>
      </c>
      <c r="E45" s="26">
        <v>18.5</v>
      </c>
    </row>
    <row r="46" spans="2:7">
      <c r="B46" s="26" t="s">
        <v>22</v>
      </c>
      <c r="C46" s="26">
        <v>89</v>
      </c>
      <c r="D46" s="26">
        <v>109.92</v>
      </c>
      <c r="E46" s="26">
        <v>6.5</v>
      </c>
    </row>
    <row r="47" spans="2:7">
      <c r="B47" s="26" t="s">
        <v>23</v>
      </c>
      <c r="C47" s="26">
        <v>66.5</v>
      </c>
      <c r="D47" s="26">
        <v>90.710000000000008</v>
      </c>
      <c r="E47" s="26">
        <v>3.75</v>
      </c>
    </row>
    <row r="48" spans="2:7" ht="16">
      <c r="B48" s="16" t="s">
        <v>128</v>
      </c>
      <c r="C48" s="33">
        <f>SUM(C37:C47)</f>
        <v>666</v>
      </c>
      <c r="D48" s="33">
        <f t="shared" ref="D48:E48" si="0">SUM(D37:D47)</f>
        <v>875.96</v>
      </c>
      <c r="E48" s="33">
        <f t="shared" si="0"/>
        <v>65.5</v>
      </c>
    </row>
    <row r="50" spans="2:17" ht="32">
      <c r="B50" s="16" t="s">
        <v>127</v>
      </c>
      <c r="C50" s="16" t="s">
        <v>131</v>
      </c>
      <c r="D50" s="16" t="s">
        <v>130</v>
      </c>
      <c r="E50" s="16" t="s">
        <v>129</v>
      </c>
      <c r="F50" s="16" t="s">
        <v>132</v>
      </c>
      <c r="G50" s="16" t="s">
        <v>133</v>
      </c>
      <c r="H50" s="16" t="s">
        <v>134</v>
      </c>
      <c r="O50" s="16" t="s">
        <v>127</v>
      </c>
      <c r="P50" s="16" t="s">
        <v>132</v>
      </c>
      <c r="Q50" s="16" t="s">
        <v>134</v>
      </c>
    </row>
    <row r="51" spans="2:17">
      <c r="B51" s="26" t="s">
        <v>7</v>
      </c>
      <c r="C51" s="26">
        <f t="shared" ref="C51:E61" si="1">C37</f>
        <v>26</v>
      </c>
      <c r="D51" s="26">
        <f t="shared" si="1"/>
        <v>63</v>
      </c>
      <c r="E51" s="26">
        <f t="shared" si="1"/>
        <v>10</v>
      </c>
      <c r="F51" s="28">
        <f>C51/(D51+E51)</f>
        <v>0.35616438356164382</v>
      </c>
      <c r="G51" s="6">
        <f>7*9</f>
        <v>63</v>
      </c>
      <c r="H51" s="28">
        <f t="shared" ref="H51:H62" si="2">D51/G51</f>
        <v>1</v>
      </c>
      <c r="O51" s="26" t="s">
        <v>7</v>
      </c>
      <c r="P51" s="28">
        <f>F51</f>
        <v>0.35616438356164382</v>
      </c>
      <c r="Q51" s="28">
        <f>H51</f>
        <v>1</v>
      </c>
    </row>
    <row r="52" spans="2:17">
      <c r="B52" s="26" t="s">
        <v>10</v>
      </c>
      <c r="C52" s="26">
        <f t="shared" si="1"/>
        <v>56.5</v>
      </c>
      <c r="D52" s="26">
        <f t="shared" si="1"/>
        <v>90</v>
      </c>
      <c r="E52" s="26">
        <f t="shared" si="1"/>
        <v>9</v>
      </c>
      <c r="F52" s="28">
        <f t="shared" ref="F52:F62" si="3">C52/(D52+E52)</f>
        <v>0.57070707070707072</v>
      </c>
      <c r="G52" s="6">
        <f>7*9</f>
        <v>63</v>
      </c>
      <c r="H52" s="28">
        <f t="shared" si="2"/>
        <v>1.4285714285714286</v>
      </c>
      <c r="O52" s="26" t="s">
        <v>10</v>
      </c>
      <c r="P52" s="28">
        <f t="shared" ref="P52:P61" si="4">F52</f>
        <v>0.57070707070707072</v>
      </c>
      <c r="Q52" s="28">
        <f t="shared" ref="Q52:Q61" si="5">H52</f>
        <v>1.4285714285714286</v>
      </c>
    </row>
    <row r="53" spans="2:17">
      <c r="B53" s="26" t="s">
        <v>12</v>
      </c>
      <c r="C53" s="26">
        <f t="shared" si="1"/>
        <v>12</v>
      </c>
      <c r="D53" s="26">
        <f t="shared" si="1"/>
        <v>14</v>
      </c>
      <c r="E53" s="26">
        <f t="shared" si="1"/>
        <v>1</v>
      </c>
      <c r="F53" s="28">
        <f t="shared" si="3"/>
        <v>0.8</v>
      </c>
      <c r="G53" s="6">
        <f>4*9</f>
        <v>36</v>
      </c>
      <c r="H53" s="28">
        <f t="shared" si="2"/>
        <v>0.3888888888888889</v>
      </c>
      <c r="O53" s="26" t="s">
        <v>12</v>
      </c>
      <c r="P53" s="28">
        <f t="shared" si="4"/>
        <v>0.8</v>
      </c>
      <c r="Q53" s="28">
        <f t="shared" si="5"/>
        <v>0.3888888888888889</v>
      </c>
    </row>
    <row r="54" spans="2:17">
      <c r="B54" s="26" t="s">
        <v>14</v>
      </c>
      <c r="C54" s="26">
        <f t="shared" si="1"/>
        <v>97</v>
      </c>
      <c r="D54" s="26">
        <f t="shared" si="1"/>
        <v>99.5</v>
      </c>
      <c r="E54" s="26">
        <f t="shared" si="1"/>
        <v>7</v>
      </c>
      <c r="F54" s="28">
        <f t="shared" si="3"/>
        <v>0.91079812206572774</v>
      </c>
      <c r="G54" s="6">
        <f t="shared" ref="G54:G60" si="6">7*10</f>
        <v>70</v>
      </c>
      <c r="H54" s="28">
        <f t="shared" si="2"/>
        <v>1.4214285714285715</v>
      </c>
      <c r="O54" s="26" t="s">
        <v>14</v>
      </c>
      <c r="P54" s="28">
        <f t="shared" si="4"/>
        <v>0.91079812206572774</v>
      </c>
      <c r="Q54" s="28">
        <f t="shared" si="5"/>
        <v>1.4214285714285715</v>
      </c>
    </row>
    <row r="55" spans="2:17">
      <c r="B55" s="26" t="s">
        <v>16</v>
      </c>
      <c r="C55" s="26">
        <f t="shared" si="1"/>
        <v>48</v>
      </c>
      <c r="D55" s="26">
        <f t="shared" si="1"/>
        <v>77</v>
      </c>
      <c r="E55" s="26">
        <f t="shared" si="1"/>
        <v>0.5</v>
      </c>
      <c r="F55" s="28">
        <f t="shared" si="3"/>
        <v>0.61935483870967745</v>
      </c>
      <c r="G55" s="6">
        <f t="shared" si="6"/>
        <v>70</v>
      </c>
      <c r="H55" s="28">
        <f t="shared" si="2"/>
        <v>1.1000000000000001</v>
      </c>
      <c r="O55" s="26" t="s">
        <v>16</v>
      </c>
      <c r="P55" s="28">
        <f t="shared" si="4"/>
        <v>0.61935483870967745</v>
      </c>
      <c r="Q55" s="28">
        <f t="shared" si="5"/>
        <v>1.1000000000000001</v>
      </c>
    </row>
    <row r="56" spans="2:17">
      <c r="B56" s="26" t="s">
        <v>18</v>
      </c>
      <c r="C56" s="26">
        <f t="shared" si="1"/>
        <v>94</v>
      </c>
      <c r="D56" s="26">
        <f t="shared" si="1"/>
        <v>104</v>
      </c>
      <c r="E56" s="26">
        <f t="shared" si="1"/>
        <v>0</v>
      </c>
      <c r="F56" s="28">
        <f t="shared" si="3"/>
        <v>0.90384615384615385</v>
      </c>
      <c r="G56" s="6">
        <f>7*8</f>
        <v>56</v>
      </c>
      <c r="H56" s="28">
        <f t="shared" si="2"/>
        <v>1.8571428571428572</v>
      </c>
      <c r="O56" s="26" t="s">
        <v>18</v>
      </c>
      <c r="P56" s="28">
        <f t="shared" si="4"/>
        <v>0.90384615384615385</v>
      </c>
      <c r="Q56" s="28">
        <f t="shared" si="5"/>
        <v>1.8571428571428572</v>
      </c>
    </row>
    <row r="57" spans="2:17">
      <c r="B57" s="26" t="s">
        <v>20</v>
      </c>
      <c r="C57" s="26">
        <f t="shared" si="1"/>
        <v>64</v>
      </c>
      <c r="D57" s="26">
        <f t="shared" si="1"/>
        <v>85</v>
      </c>
      <c r="E57" s="26">
        <f t="shared" si="1"/>
        <v>0</v>
      </c>
      <c r="F57" s="28">
        <f t="shared" si="3"/>
        <v>0.75294117647058822</v>
      </c>
      <c r="G57" s="6">
        <f t="shared" si="6"/>
        <v>70</v>
      </c>
      <c r="H57" s="28">
        <f t="shared" si="2"/>
        <v>1.2142857142857142</v>
      </c>
      <c r="O57" s="26" t="s">
        <v>20</v>
      </c>
      <c r="P57" s="28">
        <f t="shared" si="4"/>
        <v>0.75294117647058822</v>
      </c>
      <c r="Q57" s="28">
        <f t="shared" si="5"/>
        <v>1.2142857142857142</v>
      </c>
    </row>
    <row r="58" spans="2:17">
      <c r="B58" s="26" t="s">
        <v>217</v>
      </c>
      <c r="C58" s="26">
        <f t="shared" si="1"/>
        <v>64</v>
      </c>
      <c r="D58" s="26">
        <f t="shared" si="1"/>
        <v>111.83</v>
      </c>
      <c r="E58" s="26">
        <f t="shared" si="1"/>
        <v>9.25</v>
      </c>
      <c r="F58" s="28">
        <f t="shared" si="3"/>
        <v>0.52857614800132147</v>
      </c>
      <c r="G58" s="6">
        <f t="shared" si="6"/>
        <v>70</v>
      </c>
      <c r="H58" s="28">
        <f t="shared" si="2"/>
        <v>1.5975714285714286</v>
      </c>
      <c r="O58" s="26" t="s">
        <v>217</v>
      </c>
      <c r="P58" s="28">
        <f t="shared" si="4"/>
        <v>0.52857614800132147</v>
      </c>
      <c r="Q58" s="28">
        <f t="shared" si="5"/>
        <v>1.5975714285714286</v>
      </c>
    </row>
    <row r="59" spans="2:17">
      <c r="B59" s="26" t="s">
        <v>21</v>
      </c>
      <c r="C59" s="26">
        <f t="shared" si="1"/>
        <v>49</v>
      </c>
      <c r="D59" s="26">
        <f t="shared" si="1"/>
        <v>31</v>
      </c>
      <c r="E59" s="26">
        <f t="shared" si="1"/>
        <v>18.5</v>
      </c>
      <c r="F59" s="28">
        <f t="shared" si="3"/>
        <v>0.98989898989898994</v>
      </c>
      <c r="G59" s="6">
        <f>7*7</f>
        <v>49</v>
      </c>
      <c r="H59" s="28">
        <f t="shared" si="2"/>
        <v>0.63265306122448983</v>
      </c>
      <c r="O59" s="26" t="s">
        <v>21</v>
      </c>
      <c r="P59" s="28">
        <f t="shared" si="4"/>
        <v>0.98989898989898994</v>
      </c>
      <c r="Q59" s="28">
        <f t="shared" si="5"/>
        <v>0.63265306122448983</v>
      </c>
    </row>
    <row r="60" spans="2:17">
      <c r="B60" s="26" t="s">
        <v>22</v>
      </c>
      <c r="C60" s="26">
        <f t="shared" si="1"/>
        <v>89</v>
      </c>
      <c r="D60" s="26">
        <f t="shared" si="1"/>
        <v>109.92</v>
      </c>
      <c r="E60" s="26">
        <f t="shared" si="1"/>
        <v>6.5</v>
      </c>
      <c r="F60" s="28">
        <f t="shared" si="3"/>
        <v>0.76447345816869949</v>
      </c>
      <c r="G60" s="6">
        <f t="shared" si="6"/>
        <v>70</v>
      </c>
      <c r="H60" s="28">
        <f t="shared" si="2"/>
        <v>1.5702857142857143</v>
      </c>
      <c r="O60" s="26" t="s">
        <v>22</v>
      </c>
      <c r="P60" s="28">
        <f t="shared" si="4"/>
        <v>0.76447345816869949</v>
      </c>
      <c r="Q60" s="28">
        <f t="shared" si="5"/>
        <v>1.5702857142857143</v>
      </c>
    </row>
    <row r="61" spans="2:17">
      <c r="B61" s="26" t="s">
        <v>23</v>
      </c>
      <c r="C61" s="26">
        <f t="shared" si="1"/>
        <v>66.5</v>
      </c>
      <c r="D61" s="26">
        <f t="shared" si="1"/>
        <v>90.710000000000008</v>
      </c>
      <c r="E61" s="26">
        <f t="shared" si="1"/>
        <v>3.75</v>
      </c>
      <c r="F61" s="28">
        <f t="shared" ref="F61" si="7">C61/(D61+E61)</f>
        <v>0.70400169383866185</v>
      </c>
      <c r="G61" s="6">
        <f>7*9</f>
        <v>63</v>
      </c>
      <c r="H61" s="28">
        <f t="shared" ref="H61" si="8">D61/G61</f>
        <v>1.4398412698412699</v>
      </c>
      <c r="O61" s="26" t="s">
        <v>23</v>
      </c>
      <c r="P61" s="28">
        <f t="shared" si="4"/>
        <v>0.70400169383866185</v>
      </c>
      <c r="Q61" s="28">
        <f t="shared" si="5"/>
        <v>1.4398412698412699</v>
      </c>
    </row>
    <row r="62" spans="2:17" ht="16">
      <c r="B62" s="16" t="s">
        <v>128</v>
      </c>
      <c r="C62" s="33">
        <f>SUM(C51:C61)</f>
        <v>666</v>
      </c>
      <c r="D62" s="33">
        <f>SUM(D51:D61)</f>
        <v>875.96</v>
      </c>
      <c r="E62" s="33">
        <f>SUM(E51:E61)</f>
        <v>65.5</v>
      </c>
      <c r="F62" s="29">
        <f t="shared" si="3"/>
        <v>0.70741189216748457</v>
      </c>
      <c r="G62" s="33">
        <f>SUM(G51:G61)</f>
        <v>680</v>
      </c>
      <c r="H62" s="29">
        <f t="shared" si="2"/>
        <v>1.2881764705882353</v>
      </c>
      <c r="O62" s="16" t="s">
        <v>128</v>
      </c>
      <c r="P62" s="29">
        <f>F62</f>
        <v>0.70741189216748457</v>
      </c>
      <c r="Q62" s="29">
        <f>H62</f>
        <v>1.2881764705882353</v>
      </c>
    </row>
    <row r="64" spans="2:17" ht="32">
      <c r="B64" s="16" t="s">
        <v>127</v>
      </c>
      <c r="C64" s="16" t="s">
        <v>131</v>
      </c>
      <c r="D64" s="16" t="s">
        <v>130</v>
      </c>
      <c r="E64" s="16" t="s">
        <v>129</v>
      </c>
      <c r="F64" s="16" t="s">
        <v>132</v>
      </c>
      <c r="G64" s="16" t="s">
        <v>133</v>
      </c>
      <c r="H64" s="16" t="s">
        <v>134</v>
      </c>
    </row>
    <row r="65" spans="2:20">
      <c r="B65" s="26" t="s">
        <v>217</v>
      </c>
      <c r="C65" s="7">
        <f>C58</f>
        <v>64</v>
      </c>
      <c r="D65" s="7">
        <f>D58</f>
        <v>111.83</v>
      </c>
      <c r="E65" s="7">
        <f>E58</f>
        <v>9.25</v>
      </c>
      <c r="F65" s="28">
        <f>C65/(D65+E65)</f>
        <v>0.52857614800132147</v>
      </c>
      <c r="G65" s="35">
        <f>G58</f>
        <v>70</v>
      </c>
      <c r="H65" s="28">
        <f>D65/G65</f>
        <v>1.5975714285714286</v>
      </c>
    </row>
    <row r="66" spans="2:20">
      <c r="B66" s="26" t="s">
        <v>22</v>
      </c>
      <c r="C66" s="7">
        <f>C60</f>
        <v>89</v>
      </c>
      <c r="D66" s="7">
        <f t="shared" ref="D66:E66" si="9">D60</f>
        <v>109.92</v>
      </c>
      <c r="E66" s="7">
        <f t="shared" si="9"/>
        <v>6.5</v>
      </c>
      <c r="F66" s="28">
        <f>C66/(D66+E66)</f>
        <v>0.76447345816869949</v>
      </c>
      <c r="G66" s="81">
        <f>G60</f>
        <v>70</v>
      </c>
      <c r="H66" s="28">
        <f>D66/G66</f>
        <v>1.5702857142857143</v>
      </c>
    </row>
    <row r="67" spans="2:20">
      <c r="B67" s="26" t="s">
        <v>23</v>
      </c>
      <c r="C67" s="7">
        <f>C61</f>
        <v>66.5</v>
      </c>
      <c r="D67" s="7">
        <f t="shared" ref="D67:E67" si="10">D61</f>
        <v>90.710000000000008</v>
      </c>
      <c r="E67" s="7">
        <f t="shared" si="10"/>
        <v>3.75</v>
      </c>
      <c r="F67" s="28">
        <f>C67/(D67+E67)</f>
        <v>0.70400169383866185</v>
      </c>
      <c r="G67" s="81">
        <f>G61</f>
        <v>63</v>
      </c>
      <c r="H67" s="28">
        <f>D67/G67</f>
        <v>1.4398412698412699</v>
      </c>
    </row>
    <row r="68" spans="2:20" ht="16">
      <c r="B68" s="16" t="s">
        <v>128</v>
      </c>
      <c r="C68" s="33">
        <f>SUM(C65:C67)</f>
        <v>219.5</v>
      </c>
      <c r="D68" s="33">
        <f>SUM(D65:D67)</f>
        <v>312.46000000000004</v>
      </c>
      <c r="E68" s="33">
        <f>SUM(E65:E67)</f>
        <v>19.5</v>
      </c>
      <c r="F68" s="29">
        <f t="shared" ref="F68" si="11">C68/(D68+E68)</f>
        <v>0.66122424388480527</v>
      </c>
      <c r="G68" s="33">
        <f>SUM(G65:G67)</f>
        <v>203</v>
      </c>
      <c r="H68" s="29">
        <f t="shared" ref="H68" si="12">D68/G68</f>
        <v>1.5392118226600986</v>
      </c>
    </row>
    <row r="70" spans="2:20" ht="32">
      <c r="B70" s="16" t="s">
        <v>127</v>
      </c>
      <c r="C70" s="16" t="s">
        <v>131</v>
      </c>
      <c r="D70" s="16" t="s">
        <v>130</v>
      </c>
      <c r="E70" s="16" t="s">
        <v>129</v>
      </c>
      <c r="F70" s="16" t="s">
        <v>132</v>
      </c>
      <c r="G70" s="16" t="s">
        <v>133</v>
      </c>
      <c r="H70" s="16" t="s">
        <v>134</v>
      </c>
    </row>
    <row r="71" spans="2:20">
      <c r="B71" s="26" t="s">
        <v>7</v>
      </c>
      <c r="C71" s="31">
        <f>C51</f>
        <v>26</v>
      </c>
      <c r="D71" s="31">
        <f>D51</f>
        <v>63</v>
      </c>
      <c r="E71" s="31">
        <f>E51</f>
        <v>10</v>
      </c>
      <c r="F71" s="28">
        <f>C71/(D71+E71)</f>
        <v>0.35616438356164382</v>
      </c>
      <c r="G71" s="32">
        <f>G51</f>
        <v>63</v>
      </c>
      <c r="H71" s="28">
        <f t="shared" ref="H71:H74" si="13">D71/G71</f>
        <v>1</v>
      </c>
    </row>
    <row r="72" spans="2:20">
      <c r="B72" s="26" t="s">
        <v>18</v>
      </c>
      <c r="C72" s="31">
        <f t="shared" ref="C72:E73" si="14">C56</f>
        <v>94</v>
      </c>
      <c r="D72" s="31">
        <f t="shared" si="14"/>
        <v>104</v>
      </c>
      <c r="E72" s="31">
        <f t="shared" si="14"/>
        <v>0</v>
      </c>
      <c r="F72" s="28">
        <f t="shared" ref="F72:F74" si="15">C72/(D72+E72)</f>
        <v>0.90384615384615385</v>
      </c>
      <c r="G72" s="32">
        <f>G56</f>
        <v>56</v>
      </c>
      <c r="H72" s="28">
        <f t="shared" si="13"/>
        <v>1.8571428571428572</v>
      </c>
    </row>
    <row r="73" spans="2:20">
      <c r="B73" s="26" t="s">
        <v>20</v>
      </c>
      <c r="C73" s="31">
        <f t="shared" si="14"/>
        <v>64</v>
      </c>
      <c r="D73" s="31">
        <f t="shared" si="14"/>
        <v>85</v>
      </c>
      <c r="E73" s="31">
        <f t="shared" si="14"/>
        <v>0</v>
      </c>
      <c r="F73" s="28">
        <f t="shared" si="15"/>
        <v>0.75294117647058822</v>
      </c>
      <c r="G73" s="32">
        <f>G57</f>
        <v>70</v>
      </c>
      <c r="H73" s="28">
        <f t="shared" si="13"/>
        <v>1.2142857142857142</v>
      </c>
    </row>
    <row r="74" spans="2:20" ht="16">
      <c r="B74" s="16" t="s">
        <v>128</v>
      </c>
      <c r="C74" s="33">
        <f>SUM(C71:C73)</f>
        <v>184</v>
      </c>
      <c r="D74" s="33">
        <f>SUM(D71:D73)</f>
        <v>252</v>
      </c>
      <c r="E74" s="33">
        <f>SUM(E71:E73)</f>
        <v>10</v>
      </c>
      <c r="F74" s="29">
        <f t="shared" si="15"/>
        <v>0.70229007633587781</v>
      </c>
      <c r="G74" s="33">
        <f>SUM(G71:G73)</f>
        <v>189</v>
      </c>
      <c r="H74" s="29">
        <f t="shared" si="13"/>
        <v>1.3333333333333333</v>
      </c>
      <c r="S74" t="s">
        <v>235</v>
      </c>
      <c r="T74" t="s">
        <v>128</v>
      </c>
    </row>
    <row r="75" spans="2:20">
      <c r="T75">
        <v>4</v>
      </c>
    </row>
    <row r="76" spans="2:20" ht="32">
      <c r="B76" s="16" t="s">
        <v>127</v>
      </c>
      <c r="C76" s="16" t="s">
        <v>131</v>
      </c>
      <c r="D76" s="16" t="s">
        <v>130</v>
      </c>
      <c r="E76" s="16" t="s">
        <v>129</v>
      </c>
      <c r="F76" s="16" t="s">
        <v>132</v>
      </c>
      <c r="G76" s="16" t="s">
        <v>133</v>
      </c>
      <c r="H76" s="16" t="s">
        <v>134</v>
      </c>
      <c r="T76">
        <v>20</v>
      </c>
    </row>
    <row r="77" spans="2:20">
      <c r="B77" s="26" t="s">
        <v>10</v>
      </c>
      <c r="C77" s="31">
        <f t="shared" ref="C77:E78" si="16">C52</f>
        <v>56.5</v>
      </c>
      <c r="D77" s="31">
        <f t="shared" si="16"/>
        <v>90</v>
      </c>
      <c r="E77" s="31">
        <f t="shared" si="16"/>
        <v>9</v>
      </c>
      <c r="F77" s="28">
        <f t="shared" ref="F77:F81" si="17">C77/(D77+E77)</f>
        <v>0.57070707070707072</v>
      </c>
      <c r="G77" s="32">
        <f>G52</f>
        <v>63</v>
      </c>
      <c r="H77" s="28">
        <f t="shared" ref="H77:H81" si="18">D77/G77</f>
        <v>1.4285714285714286</v>
      </c>
      <c r="T77">
        <v>3</v>
      </c>
    </row>
    <row r="78" spans="2:20">
      <c r="B78" s="26" t="s">
        <v>12</v>
      </c>
      <c r="C78" s="31">
        <f t="shared" si="16"/>
        <v>12</v>
      </c>
      <c r="D78" s="31">
        <f t="shared" si="16"/>
        <v>14</v>
      </c>
      <c r="E78" s="31">
        <f t="shared" si="16"/>
        <v>1</v>
      </c>
      <c r="F78" s="28">
        <f t="shared" si="17"/>
        <v>0.8</v>
      </c>
      <c r="G78" s="32">
        <f>G53</f>
        <v>36</v>
      </c>
      <c r="H78" s="28">
        <f t="shared" si="18"/>
        <v>0.3888888888888889</v>
      </c>
      <c r="S78">
        <v>1</v>
      </c>
      <c r="T78">
        <v>30</v>
      </c>
    </row>
    <row r="79" spans="2:20">
      <c r="B79" s="26" t="s">
        <v>16</v>
      </c>
      <c r="C79" s="31">
        <f>C55</f>
        <v>48</v>
      </c>
      <c r="D79" s="31">
        <f>D55</f>
        <v>77</v>
      </c>
      <c r="E79" s="31">
        <f>E55</f>
        <v>0.5</v>
      </c>
      <c r="F79" s="28">
        <f t="shared" si="17"/>
        <v>0.61935483870967745</v>
      </c>
      <c r="G79" s="32">
        <f>G55</f>
        <v>70</v>
      </c>
      <c r="H79" s="28">
        <f t="shared" si="18"/>
        <v>1.1000000000000001</v>
      </c>
      <c r="T79">
        <v>14</v>
      </c>
    </row>
    <row r="80" spans="2:20">
      <c r="B80" s="26" t="s">
        <v>21</v>
      </c>
      <c r="C80" s="31">
        <f>C59</f>
        <v>49</v>
      </c>
      <c r="D80" s="31">
        <f>D59</f>
        <v>31</v>
      </c>
      <c r="E80" s="31">
        <f>E59</f>
        <v>18.5</v>
      </c>
      <c r="F80" s="28">
        <f t="shared" si="17"/>
        <v>0.98989898989898994</v>
      </c>
      <c r="G80" s="32">
        <f>G59</f>
        <v>49</v>
      </c>
      <c r="H80" s="28">
        <f t="shared" si="18"/>
        <v>0.63265306122448983</v>
      </c>
      <c r="T80">
        <v>17</v>
      </c>
    </row>
    <row r="81" spans="2:20" ht="16">
      <c r="B81" s="16" t="s">
        <v>128</v>
      </c>
      <c r="C81" s="33">
        <f>SUM(C77:C80)</f>
        <v>165.5</v>
      </c>
      <c r="D81" s="33">
        <f>SUM(D77:D80)</f>
        <v>212</v>
      </c>
      <c r="E81" s="33">
        <f>SUM(E77:E80)</f>
        <v>29</v>
      </c>
      <c r="F81" s="29">
        <f t="shared" si="17"/>
        <v>0.68672199170124482</v>
      </c>
      <c r="G81" s="33">
        <f>SUM(G77:G80)</f>
        <v>218</v>
      </c>
      <c r="H81" s="29">
        <f t="shared" si="18"/>
        <v>0.97247706422018354</v>
      </c>
      <c r="T81">
        <v>11</v>
      </c>
    </row>
    <row r="82" spans="2:20">
      <c r="T82">
        <v>19</v>
      </c>
    </row>
    <row r="83" spans="2:20" ht="32">
      <c r="B83" s="16" t="s">
        <v>127</v>
      </c>
      <c r="C83" s="16" t="s">
        <v>131</v>
      </c>
      <c r="D83" s="16" t="s">
        <v>130</v>
      </c>
      <c r="E83" s="16" t="s">
        <v>129</v>
      </c>
      <c r="F83" s="16" t="s">
        <v>132</v>
      </c>
      <c r="G83" s="16" t="s">
        <v>133</v>
      </c>
      <c r="H83" s="16" t="s">
        <v>134</v>
      </c>
      <c r="T83">
        <v>14</v>
      </c>
    </row>
    <row r="84" spans="2:20">
      <c r="B84" s="26" t="s">
        <v>14</v>
      </c>
      <c r="C84" s="31">
        <f>C54</f>
        <v>97</v>
      </c>
      <c r="D84" s="31">
        <f>D54</f>
        <v>99.5</v>
      </c>
      <c r="E84" s="31">
        <f>E54</f>
        <v>7</v>
      </c>
      <c r="F84" s="28">
        <f t="shared" ref="F84:F85" si="19">C84/(D84+E84)</f>
        <v>0.91079812206572774</v>
      </c>
      <c r="G84" s="32">
        <f>G54</f>
        <v>70</v>
      </c>
      <c r="H84" s="28">
        <f t="shared" ref="H84:H85" si="20">D84/G84</f>
        <v>1.4214285714285715</v>
      </c>
      <c r="T84">
        <v>16</v>
      </c>
    </row>
    <row r="85" spans="2:20" ht="16">
      <c r="B85" s="16" t="s">
        <v>128</v>
      </c>
      <c r="C85" s="33">
        <f>SUM(C84:C84)</f>
        <v>97</v>
      </c>
      <c r="D85" s="33">
        <f>SUM(D84:D84)</f>
        <v>99.5</v>
      </c>
      <c r="E85" s="33">
        <f>SUM(E84:E84)</f>
        <v>7</v>
      </c>
      <c r="F85" s="29">
        <f t="shared" si="19"/>
        <v>0.91079812206572774</v>
      </c>
      <c r="G85" s="33">
        <f>SUM(G84:G84)</f>
        <v>70</v>
      </c>
      <c r="H85" s="29">
        <f t="shared" si="20"/>
        <v>1.4214285714285715</v>
      </c>
      <c r="T85">
        <v>24</v>
      </c>
    </row>
    <row r="86" spans="2:20">
      <c r="S86">
        <v>1</v>
      </c>
      <c r="T86">
        <v>172</v>
      </c>
    </row>
    <row r="87" spans="2:20" ht="32">
      <c r="B87" s="38" t="s">
        <v>1</v>
      </c>
      <c r="C87" s="38" t="s">
        <v>131</v>
      </c>
      <c r="D87" s="38" t="s">
        <v>130</v>
      </c>
      <c r="E87" s="38" t="s">
        <v>129</v>
      </c>
      <c r="F87" s="39" t="s">
        <v>132</v>
      </c>
      <c r="G87" s="39" t="s">
        <v>133</v>
      </c>
      <c r="H87" s="39" t="s">
        <v>134</v>
      </c>
      <c r="O87" s="38" t="s">
        <v>1</v>
      </c>
      <c r="P87" s="39" t="s">
        <v>132</v>
      </c>
      <c r="Q87" s="39" t="s">
        <v>134</v>
      </c>
    </row>
    <row r="88" spans="2:20" ht="16">
      <c r="B88" s="4" t="s">
        <v>9</v>
      </c>
      <c r="C88" s="35">
        <f>C68</f>
        <v>219.5</v>
      </c>
      <c r="D88" s="35">
        <f>D68</f>
        <v>312.46000000000004</v>
      </c>
      <c r="E88" s="35">
        <f>E68</f>
        <v>19.5</v>
      </c>
      <c r="F88" s="28">
        <f t="shared" ref="F88:F91" si="21">C88/(D88+E88)</f>
        <v>0.66122424388480527</v>
      </c>
      <c r="G88" s="32">
        <f>G68</f>
        <v>203</v>
      </c>
      <c r="H88" s="28">
        <f t="shared" ref="H88:H91" si="22">D88/G88</f>
        <v>1.5392118226600986</v>
      </c>
      <c r="O88" s="4" t="s">
        <v>9</v>
      </c>
      <c r="P88" s="28">
        <f>F88</f>
        <v>0.66122424388480527</v>
      </c>
      <c r="Q88" s="28">
        <f>H88</f>
        <v>1.5392118226600986</v>
      </c>
    </row>
    <row r="89" spans="2:20" ht="16">
      <c r="B89" s="4" t="s">
        <v>8</v>
      </c>
      <c r="C89" s="35">
        <f>C74</f>
        <v>184</v>
      </c>
      <c r="D89" s="35">
        <f>D74</f>
        <v>252</v>
      </c>
      <c r="E89" s="35">
        <f>E74</f>
        <v>10</v>
      </c>
      <c r="F89" s="28">
        <f t="shared" si="21"/>
        <v>0.70229007633587781</v>
      </c>
      <c r="G89" s="32">
        <f>G74</f>
        <v>189</v>
      </c>
      <c r="H89" s="28">
        <f t="shared" si="22"/>
        <v>1.3333333333333333</v>
      </c>
      <c r="O89" s="4" t="s">
        <v>8</v>
      </c>
      <c r="P89" s="28">
        <f t="shared" ref="P89:P91" si="23">F89</f>
        <v>0.70229007633587781</v>
      </c>
      <c r="Q89" s="28">
        <f t="shared" ref="Q89:Q91" si="24">H89</f>
        <v>1.3333333333333333</v>
      </c>
    </row>
    <row r="90" spans="2:20" ht="16">
      <c r="B90" s="4" t="s">
        <v>13</v>
      </c>
      <c r="C90" s="35">
        <f>C81</f>
        <v>165.5</v>
      </c>
      <c r="D90" s="35">
        <f t="shared" ref="D90:E90" si="25">D81</f>
        <v>212</v>
      </c>
      <c r="E90" s="35">
        <f t="shared" si="25"/>
        <v>29</v>
      </c>
      <c r="F90" s="28">
        <f t="shared" si="21"/>
        <v>0.68672199170124482</v>
      </c>
      <c r="G90" s="32">
        <f>G81</f>
        <v>218</v>
      </c>
      <c r="H90" s="28">
        <f t="shared" si="22"/>
        <v>0.97247706422018354</v>
      </c>
      <c r="O90" s="4" t="s">
        <v>13</v>
      </c>
      <c r="P90" s="28">
        <f t="shared" si="23"/>
        <v>0.68672199170124482</v>
      </c>
      <c r="Q90" s="28">
        <f t="shared" si="24"/>
        <v>0.97247706422018354</v>
      </c>
    </row>
    <row r="91" spans="2:20">
      <c r="B91" s="7" t="s">
        <v>15</v>
      </c>
      <c r="C91" s="35">
        <f>C85</f>
        <v>97</v>
      </c>
      <c r="D91" s="35">
        <f t="shared" ref="D91:E91" si="26">D85</f>
        <v>99.5</v>
      </c>
      <c r="E91" s="35">
        <f t="shared" si="26"/>
        <v>7</v>
      </c>
      <c r="F91" s="28">
        <f t="shared" si="21"/>
        <v>0.91079812206572774</v>
      </c>
      <c r="G91" s="97">
        <f>G85</f>
        <v>70</v>
      </c>
      <c r="H91" s="28">
        <f t="shared" si="22"/>
        <v>1.4214285714285715</v>
      </c>
      <c r="O91" s="7" t="s">
        <v>15</v>
      </c>
      <c r="P91" s="28">
        <f t="shared" si="23"/>
        <v>0.91079812206572774</v>
      </c>
      <c r="Q91" s="28">
        <f t="shared" si="24"/>
        <v>1.4214285714285715</v>
      </c>
    </row>
    <row r="92" spans="2:20">
      <c r="B92" s="25" t="s">
        <v>128</v>
      </c>
      <c r="C92" s="36">
        <f>SUM(C88:C91)</f>
        <v>666</v>
      </c>
      <c r="D92" s="36">
        <f>SUM(D88:D91)</f>
        <v>875.96</v>
      </c>
      <c r="E92" s="36">
        <f>SUM(E88:E91)</f>
        <v>65.5</v>
      </c>
      <c r="F92" s="37">
        <f t="shared" ref="F92" si="27">C92/(D92+E92)</f>
        <v>0.70741189216748457</v>
      </c>
      <c r="G92" s="36">
        <f>SUM(G88:G91)</f>
        <v>680</v>
      </c>
      <c r="H92" s="37">
        <f t="shared" ref="H92" si="28">D92/G92</f>
        <v>1.2881764705882353</v>
      </c>
      <c r="O92" s="25" t="s">
        <v>128</v>
      </c>
      <c r="P92" s="37">
        <f>F92</f>
        <v>0.70741189216748457</v>
      </c>
      <c r="Q92" s="37">
        <f>H92</f>
        <v>1.2881764705882353</v>
      </c>
    </row>
    <row r="94" spans="2:20" ht="16">
      <c r="B94" s="16" t="s">
        <v>127</v>
      </c>
      <c r="C94" s="16" t="s">
        <v>42</v>
      </c>
      <c r="D94" s="16" t="s">
        <v>233</v>
      </c>
      <c r="E94" s="16" t="s">
        <v>81</v>
      </c>
      <c r="F94" s="16" t="s">
        <v>38</v>
      </c>
      <c r="G94" s="16" t="s">
        <v>247</v>
      </c>
      <c r="H94" s="16" t="s">
        <v>77</v>
      </c>
      <c r="I94" s="16" t="s">
        <v>257</v>
      </c>
      <c r="J94" s="16" t="s">
        <v>35</v>
      </c>
      <c r="K94" s="16" t="s">
        <v>235</v>
      </c>
      <c r="L94" s="16" t="s">
        <v>128</v>
      </c>
      <c r="M94" s="16" t="s">
        <v>135</v>
      </c>
      <c r="O94" s="16" t="s">
        <v>127</v>
      </c>
      <c r="P94" s="16" t="s">
        <v>128</v>
      </c>
      <c r="Q94" s="16" t="s">
        <v>135</v>
      </c>
    </row>
    <row r="95" spans="2:20">
      <c r="B95" s="7" t="s">
        <v>7</v>
      </c>
      <c r="C95" s="7"/>
      <c r="D95" s="7"/>
      <c r="E95" s="7">
        <v>4</v>
      </c>
      <c r="F95" s="7"/>
      <c r="G95" s="7"/>
      <c r="H95" s="7"/>
      <c r="I95" s="7"/>
      <c r="J95" s="7"/>
      <c r="K95" s="7"/>
      <c r="L95" s="7">
        <f>SUM(C95:K95)</f>
        <v>4</v>
      </c>
      <c r="M95" s="43">
        <f>(D95+E95+G95+I95+J95+K95)/L95</f>
        <v>1</v>
      </c>
      <c r="O95" s="7" t="s">
        <v>7</v>
      </c>
      <c r="P95" s="7">
        <f>L95</f>
        <v>4</v>
      </c>
      <c r="Q95" s="40">
        <f>M95</f>
        <v>1</v>
      </c>
    </row>
    <row r="96" spans="2:20">
      <c r="B96" s="7" t="s">
        <v>10</v>
      </c>
      <c r="C96" s="7"/>
      <c r="D96" s="7"/>
      <c r="E96" s="7">
        <v>12</v>
      </c>
      <c r="F96" s="7">
        <v>4</v>
      </c>
      <c r="G96" s="7"/>
      <c r="H96" s="7"/>
      <c r="I96" s="7">
        <v>1</v>
      </c>
      <c r="J96" s="7">
        <v>3</v>
      </c>
      <c r="K96" s="7"/>
      <c r="L96" s="7">
        <f t="shared" ref="L96:L105" si="29">SUM(C96:K96)</f>
        <v>20</v>
      </c>
      <c r="M96" s="43">
        <f t="shared" ref="M96:M106" si="30">(D96+E96+G96+I96+J96+K96)/L96</f>
        <v>0.8</v>
      </c>
      <c r="O96" s="7" t="s">
        <v>10</v>
      </c>
      <c r="P96" s="7">
        <f t="shared" ref="P96:P106" si="31">L96</f>
        <v>20</v>
      </c>
      <c r="Q96" s="40">
        <f t="shared" ref="Q96:Q106" si="32">M96</f>
        <v>0.8</v>
      </c>
    </row>
    <row r="97" spans="2:17">
      <c r="B97" s="7" t="s">
        <v>12</v>
      </c>
      <c r="C97" s="7"/>
      <c r="D97" s="7"/>
      <c r="E97" s="7">
        <v>3</v>
      </c>
      <c r="F97" s="7"/>
      <c r="G97" s="7"/>
      <c r="H97" s="7"/>
      <c r="I97" s="7"/>
      <c r="J97" s="7"/>
      <c r="K97" s="7"/>
      <c r="L97" s="7">
        <f t="shared" si="29"/>
        <v>3</v>
      </c>
      <c r="M97" s="43">
        <f t="shared" si="30"/>
        <v>1</v>
      </c>
      <c r="O97" s="7" t="s">
        <v>12</v>
      </c>
      <c r="P97" s="7">
        <f t="shared" si="31"/>
        <v>3</v>
      </c>
      <c r="Q97" s="40">
        <f t="shared" si="32"/>
        <v>1</v>
      </c>
    </row>
    <row r="98" spans="2:17">
      <c r="B98" s="7" t="s">
        <v>14</v>
      </c>
      <c r="C98" s="7"/>
      <c r="D98" s="7">
        <v>5</v>
      </c>
      <c r="E98" s="7">
        <v>23</v>
      </c>
      <c r="F98" s="7"/>
      <c r="G98" s="7"/>
      <c r="H98" s="7">
        <v>1</v>
      </c>
      <c r="I98" s="7"/>
      <c r="J98" s="7"/>
      <c r="K98" s="7">
        <v>1</v>
      </c>
      <c r="L98" s="7">
        <f t="shared" si="29"/>
        <v>30</v>
      </c>
      <c r="M98" s="43">
        <f t="shared" si="30"/>
        <v>0.96666666666666667</v>
      </c>
      <c r="O98" s="7" t="s">
        <v>14</v>
      </c>
      <c r="P98" s="7">
        <f t="shared" si="31"/>
        <v>30</v>
      </c>
      <c r="Q98" s="40">
        <f t="shared" si="32"/>
        <v>0.96666666666666667</v>
      </c>
    </row>
    <row r="99" spans="2:17">
      <c r="B99" s="7" t="s">
        <v>16</v>
      </c>
      <c r="C99" s="7"/>
      <c r="D99" s="7"/>
      <c r="E99" s="7">
        <v>12</v>
      </c>
      <c r="F99" s="7"/>
      <c r="G99" s="7"/>
      <c r="H99" s="7"/>
      <c r="I99" s="7"/>
      <c r="J99" s="7">
        <v>2</v>
      </c>
      <c r="K99" s="7"/>
      <c r="L99" s="7">
        <f t="shared" si="29"/>
        <v>14</v>
      </c>
      <c r="M99" s="43">
        <f t="shared" si="30"/>
        <v>1</v>
      </c>
      <c r="O99" s="7" t="s">
        <v>16</v>
      </c>
      <c r="P99" s="7">
        <f t="shared" si="31"/>
        <v>14</v>
      </c>
      <c r="Q99" s="40">
        <f t="shared" si="32"/>
        <v>1</v>
      </c>
    </row>
    <row r="100" spans="2:17">
      <c r="B100" s="7" t="s">
        <v>18</v>
      </c>
      <c r="C100" s="7"/>
      <c r="D100" s="7"/>
      <c r="E100" s="7">
        <v>17</v>
      </c>
      <c r="F100" s="7"/>
      <c r="G100" s="7"/>
      <c r="H100" s="7"/>
      <c r="I100" s="7"/>
      <c r="J100" s="7"/>
      <c r="K100" s="7"/>
      <c r="L100" s="7">
        <f t="shared" si="29"/>
        <v>17</v>
      </c>
      <c r="M100" s="43">
        <f t="shared" si="30"/>
        <v>1</v>
      </c>
      <c r="O100" s="7" t="s">
        <v>18</v>
      </c>
      <c r="P100" s="7">
        <f t="shared" si="31"/>
        <v>17</v>
      </c>
      <c r="Q100" s="40">
        <f t="shared" si="32"/>
        <v>1</v>
      </c>
    </row>
    <row r="101" spans="2:17">
      <c r="B101" s="7" t="s">
        <v>20</v>
      </c>
      <c r="C101" s="7"/>
      <c r="D101" s="7"/>
      <c r="E101" s="7">
        <v>11</v>
      </c>
      <c r="F101" s="7"/>
      <c r="G101" s="7"/>
      <c r="H101" s="7"/>
      <c r="I101" s="7"/>
      <c r="J101" s="7"/>
      <c r="K101" s="7"/>
      <c r="L101" s="7">
        <f t="shared" si="29"/>
        <v>11</v>
      </c>
      <c r="M101" s="43">
        <f t="shared" si="30"/>
        <v>1</v>
      </c>
      <c r="O101" s="7" t="s">
        <v>20</v>
      </c>
      <c r="P101" s="7">
        <f t="shared" si="31"/>
        <v>11</v>
      </c>
      <c r="Q101" s="40">
        <f t="shared" si="32"/>
        <v>1</v>
      </c>
    </row>
    <row r="102" spans="2:17">
      <c r="B102" s="7" t="s">
        <v>217</v>
      </c>
      <c r="C102" s="7">
        <v>1</v>
      </c>
      <c r="D102" s="7"/>
      <c r="E102" s="7">
        <v>13</v>
      </c>
      <c r="F102" s="7"/>
      <c r="G102" s="7"/>
      <c r="H102" s="7">
        <v>3</v>
      </c>
      <c r="I102" s="7"/>
      <c r="J102" s="7">
        <v>2</v>
      </c>
      <c r="K102" s="7"/>
      <c r="L102" s="7">
        <f t="shared" si="29"/>
        <v>19</v>
      </c>
      <c r="M102" s="43">
        <f t="shared" si="30"/>
        <v>0.78947368421052633</v>
      </c>
      <c r="O102" s="7" t="s">
        <v>217</v>
      </c>
      <c r="P102" s="7">
        <f t="shared" si="31"/>
        <v>19</v>
      </c>
      <c r="Q102" s="40">
        <f t="shared" si="32"/>
        <v>0.78947368421052633</v>
      </c>
    </row>
    <row r="103" spans="2:17">
      <c r="B103" s="7" t="s">
        <v>21</v>
      </c>
      <c r="C103" s="7"/>
      <c r="D103" s="7"/>
      <c r="E103" s="7">
        <v>7</v>
      </c>
      <c r="F103" s="7"/>
      <c r="G103" s="7"/>
      <c r="H103" s="7">
        <v>5</v>
      </c>
      <c r="I103" s="7"/>
      <c r="J103" s="7">
        <v>2</v>
      </c>
      <c r="K103" s="7"/>
      <c r="L103" s="7">
        <f t="shared" si="29"/>
        <v>14</v>
      </c>
      <c r="M103" s="43">
        <f t="shared" si="30"/>
        <v>0.6428571428571429</v>
      </c>
      <c r="O103" s="7" t="s">
        <v>21</v>
      </c>
      <c r="P103" s="7">
        <f t="shared" si="31"/>
        <v>14</v>
      </c>
      <c r="Q103" s="40">
        <f t="shared" si="32"/>
        <v>0.6428571428571429</v>
      </c>
    </row>
    <row r="104" spans="2:17">
      <c r="B104" s="7" t="s">
        <v>22</v>
      </c>
      <c r="C104" s="7"/>
      <c r="D104" s="7"/>
      <c r="E104" s="7">
        <v>16</v>
      </c>
      <c r="F104" s="7"/>
      <c r="G104" s="7"/>
      <c r="H104" s="7"/>
      <c r="I104" s="7"/>
      <c r="J104" s="7"/>
      <c r="K104" s="7"/>
      <c r="L104" s="7">
        <f t="shared" si="29"/>
        <v>16</v>
      </c>
      <c r="M104" s="43">
        <f t="shared" si="30"/>
        <v>1</v>
      </c>
      <c r="O104" s="7" t="s">
        <v>22</v>
      </c>
      <c r="P104" s="7">
        <f t="shared" si="31"/>
        <v>16</v>
      </c>
      <c r="Q104" s="40">
        <f t="shared" si="32"/>
        <v>1</v>
      </c>
    </row>
    <row r="105" spans="2:17">
      <c r="B105" s="7" t="s">
        <v>23</v>
      </c>
      <c r="C105" s="7"/>
      <c r="D105" s="7"/>
      <c r="E105" s="7">
        <v>12</v>
      </c>
      <c r="F105" s="7"/>
      <c r="G105" s="7"/>
      <c r="H105" s="7"/>
      <c r="I105" s="7"/>
      <c r="J105" s="7">
        <v>12</v>
      </c>
      <c r="K105" s="7"/>
      <c r="L105" s="7">
        <f t="shared" si="29"/>
        <v>24</v>
      </c>
      <c r="M105" s="43">
        <f t="shared" si="30"/>
        <v>1</v>
      </c>
      <c r="O105" s="7" t="s">
        <v>23</v>
      </c>
      <c r="P105" s="7">
        <f t="shared" si="31"/>
        <v>24</v>
      </c>
      <c r="Q105" s="40">
        <f t="shared" si="32"/>
        <v>1</v>
      </c>
    </row>
    <row r="106" spans="2:17" ht="16">
      <c r="B106" s="16" t="s">
        <v>128</v>
      </c>
      <c r="C106" s="16">
        <f t="shared" ref="C106:L106" si="33">SUM(C95:C105)</f>
        <v>1</v>
      </c>
      <c r="D106" s="16">
        <f t="shared" si="33"/>
        <v>5</v>
      </c>
      <c r="E106" s="16">
        <f t="shared" si="33"/>
        <v>130</v>
      </c>
      <c r="F106" s="16">
        <f t="shared" si="33"/>
        <v>4</v>
      </c>
      <c r="G106" s="16">
        <f t="shared" si="33"/>
        <v>0</v>
      </c>
      <c r="H106" s="16">
        <f t="shared" si="33"/>
        <v>9</v>
      </c>
      <c r="I106" s="16">
        <f t="shared" si="33"/>
        <v>1</v>
      </c>
      <c r="J106" s="16">
        <f t="shared" si="33"/>
        <v>21</v>
      </c>
      <c r="K106" s="16">
        <f t="shared" si="33"/>
        <v>1</v>
      </c>
      <c r="L106" s="16">
        <f t="shared" si="33"/>
        <v>172</v>
      </c>
      <c r="M106" s="99">
        <f t="shared" si="30"/>
        <v>0.91860465116279066</v>
      </c>
      <c r="O106" s="16" t="s">
        <v>128</v>
      </c>
      <c r="P106" s="16">
        <f t="shared" si="31"/>
        <v>172</v>
      </c>
      <c r="Q106" s="99">
        <f t="shared" si="32"/>
        <v>0.91860465116279066</v>
      </c>
    </row>
    <row r="108" spans="2:17" ht="16">
      <c r="B108" s="16" t="s">
        <v>127</v>
      </c>
      <c r="C108" s="16" t="s">
        <v>42</v>
      </c>
      <c r="D108" s="16" t="s">
        <v>233</v>
      </c>
      <c r="E108" s="16" t="s">
        <v>81</v>
      </c>
      <c r="F108" s="16" t="s">
        <v>38</v>
      </c>
      <c r="G108" s="16" t="s">
        <v>247</v>
      </c>
      <c r="H108" s="16" t="s">
        <v>77</v>
      </c>
      <c r="I108" s="16" t="s">
        <v>257</v>
      </c>
      <c r="J108" s="16" t="s">
        <v>35</v>
      </c>
      <c r="K108" s="16" t="s">
        <v>235</v>
      </c>
      <c r="L108" s="16" t="s">
        <v>128</v>
      </c>
      <c r="M108" s="16" t="s">
        <v>135</v>
      </c>
    </row>
    <row r="109" spans="2:17">
      <c r="B109" s="7" t="s">
        <v>217</v>
      </c>
      <c r="C109" s="7">
        <f t="shared" ref="C109:L109" si="34">C102</f>
        <v>1</v>
      </c>
      <c r="D109" s="7">
        <f t="shared" si="34"/>
        <v>0</v>
      </c>
      <c r="E109" s="7">
        <f t="shared" si="34"/>
        <v>13</v>
      </c>
      <c r="F109" s="7">
        <f t="shared" si="34"/>
        <v>0</v>
      </c>
      <c r="G109" s="7">
        <f t="shared" si="34"/>
        <v>0</v>
      </c>
      <c r="H109" s="7">
        <f t="shared" si="34"/>
        <v>3</v>
      </c>
      <c r="I109" s="7">
        <f t="shared" si="34"/>
        <v>0</v>
      </c>
      <c r="J109" s="7">
        <f t="shared" si="34"/>
        <v>2</v>
      </c>
      <c r="K109" s="7">
        <f t="shared" si="34"/>
        <v>0</v>
      </c>
      <c r="L109" s="7">
        <f t="shared" si="34"/>
        <v>19</v>
      </c>
      <c r="M109" s="43">
        <f t="shared" ref="M109:M111" si="35">(D109+E109+G109+I109+J109+K109)/L109</f>
        <v>0.78947368421052633</v>
      </c>
    </row>
    <row r="110" spans="2:17">
      <c r="B110" s="7" t="s">
        <v>22</v>
      </c>
      <c r="C110" s="7">
        <f>C104</f>
        <v>0</v>
      </c>
      <c r="D110" s="7">
        <f t="shared" ref="D110:L110" si="36">D104</f>
        <v>0</v>
      </c>
      <c r="E110" s="7">
        <f t="shared" si="36"/>
        <v>16</v>
      </c>
      <c r="F110" s="7">
        <f t="shared" si="36"/>
        <v>0</v>
      </c>
      <c r="G110" s="7">
        <f t="shared" si="36"/>
        <v>0</v>
      </c>
      <c r="H110" s="7">
        <f t="shared" si="36"/>
        <v>0</v>
      </c>
      <c r="I110" s="7">
        <f t="shared" si="36"/>
        <v>0</v>
      </c>
      <c r="J110" s="7">
        <f t="shared" si="36"/>
        <v>0</v>
      </c>
      <c r="K110" s="7">
        <f t="shared" si="36"/>
        <v>0</v>
      </c>
      <c r="L110" s="7">
        <f t="shared" si="36"/>
        <v>16</v>
      </c>
      <c r="M110" s="43">
        <f t="shared" si="35"/>
        <v>1</v>
      </c>
    </row>
    <row r="111" spans="2:17">
      <c r="B111" s="7" t="s">
        <v>23</v>
      </c>
      <c r="C111" s="7">
        <f>C105</f>
        <v>0</v>
      </c>
      <c r="D111" s="7">
        <f t="shared" ref="D111:L111" si="37">D105</f>
        <v>0</v>
      </c>
      <c r="E111" s="7">
        <f t="shared" si="37"/>
        <v>12</v>
      </c>
      <c r="F111" s="7">
        <f t="shared" si="37"/>
        <v>0</v>
      </c>
      <c r="G111" s="7">
        <f t="shared" si="37"/>
        <v>0</v>
      </c>
      <c r="H111" s="7">
        <f t="shared" si="37"/>
        <v>0</v>
      </c>
      <c r="I111" s="7">
        <f t="shared" si="37"/>
        <v>0</v>
      </c>
      <c r="J111" s="7">
        <f t="shared" si="37"/>
        <v>12</v>
      </c>
      <c r="K111" s="7">
        <f t="shared" si="37"/>
        <v>0</v>
      </c>
      <c r="L111" s="7">
        <f t="shared" si="37"/>
        <v>24</v>
      </c>
      <c r="M111" s="43">
        <f t="shared" si="35"/>
        <v>1</v>
      </c>
    </row>
    <row r="112" spans="2:17" ht="16">
      <c r="B112" s="16" t="s">
        <v>128</v>
      </c>
      <c r="C112" s="16">
        <f>SUM(C109:C111)</f>
        <v>1</v>
      </c>
      <c r="D112" s="16">
        <f t="shared" ref="D112:L112" si="38">SUM(D109:D111)</f>
        <v>0</v>
      </c>
      <c r="E112" s="16">
        <f t="shared" si="38"/>
        <v>41</v>
      </c>
      <c r="F112" s="16">
        <f t="shared" si="38"/>
        <v>0</v>
      </c>
      <c r="G112" s="16">
        <f t="shared" si="38"/>
        <v>0</v>
      </c>
      <c r="H112" s="16">
        <f t="shared" si="38"/>
        <v>3</v>
      </c>
      <c r="I112" s="16">
        <f t="shared" si="38"/>
        <v>0</v>
      </c>
      <c r="J112" s="16">
        <f t="shared" si="38"/>
        <v>14</v>
      </c>
      <c r="K112" s="16">
        <f t="shared" si="38"/>
        <v>0</v>
      </c>
      <c r="L112" s="16">
        <f t="shared" si="38"/>
        <v>59</v>
      </c>
      <c r="M112" s="99">
        <f t="shared" ref="M112" si="39">(D112+E112+G112+I112+J112+K112)/L112</f>
        <v>0.93220338983050843</v>
      </c>
    </row>
    <row r="114" spans="2:13" ht="16">
      <c r="B114" s="16" t="s">
        <v>127</v>
      </c>
      <c r="C114" s="16" t="s">
        <v>42</v>
      </c>
      <c r="D114" s="16" t="s">
        <v>233</v>
      </c>
      <c r="E114" s="16" t="s">
        <v>81</v>
      </c>
      <c r="F114" s="16" t="s">
        <v>38</v>
      </c>
      <c r="G114" s="16" t="s">
        <v>247</v>
      </c>
      <c r="H114" s="16" t="s">
        <v>77</v>
      </c>
      <c r="I114" s="16" t="s">
        <v>257</v>
      </c>
      <c r="J114" s="16" t="s">
        <v>35</v>
      </c>
      <c r="K114" s="16" t="s">
        <v>235</v>
      </c>
      <c r="L114" s="16" t="s">
        <v>128</v>
      </c>
      <c r="M114" s="16" t="s">
        <v>135</v>
      </c>
    </row>
    <row r="115" spans="2:13">
      <c r="B115" s="7" t="s">
        <v>7</v>
      </c>
      <c r="C115" s="7">
        <f t="shared" ref="C115:L115" si="40">C95</f>
        <v>0</v>
      </c>
      <c r="D115" s="7">
        <f t="shared" si="40"/>
        <v>0</v>
      </c>
      <c r="E115" s="7">
        <f t="shared" si="40"/>
        <v>4</v>
      </c>
      <c r="F115" s="7">
        <f t="shared" si="40"/>
        <v>0</v>
      </c>
      <c r="G115" s="7">
        <f t="shared" si="40"/>
        <v>0</v>
      </c>
      <c r="H115" s="7">
        <f t="shared" si="40"/>
        <v>0</v>
      </c>
      <c r="I115" s="7">
        <f t="shared" si="40"/>
        <v>0</v>
      </c>
      <c r="J115" s="7">
        <f t="shared" si="40"/>
        <v>0</v>
      </c>
      <c r="K115" s="7">
        <f t="shared" si="40"/>
        <v>0</v>
      </c>
      <c r="L115" s="7">
        <f t="shared" si="40"/>
        <v>4</v>
      </c>
      <c r="M115" s="43">
        <f t="shared" ref="M115:M117" si="41">(D115+E115+G115+I115+J115+K115)/L115</f>
        <v>1</v>
      </c>
    </row>
    <row r="116" spans="2:13">
      <c r="B116" s="7" t="s">
        <v>18</v>
      </c>
      <c r="C116" s="7">
        <f t="shared" ref="C116:L116" si="42">C100</f>
        <v>0</v>
      </c>
      <c r="D116" s="7">
        <f t="shared" si="42"/>
        <v>0</v>
      </c>
      <c r="E116" s="7">
        <f t="shared" si="42"/>
        <v>17</v>
      </c>
      <c r="F116" s="7">
        <f t="shared" si="42"/>
        <v>0</v>
      </c>
      <c r="G116" s="7">
        <f t="shared" si="42"/>
        <v>0</v>
      </c>
      <c r="H116" s="7">
        <f t="shared" si="42"/>
        <v>0</v>
      </c>
      <c r="I116" s="7">
        <f t="shared" si="42"/>
        <v>0</v>
      </c>
      <c r="J116" s="7">
        <f t="shared" si="42"/>
        <v>0</v>
      </c>
      <c r="K116" s="7">
        <f t="shared" si="42"/>
        <v>0</v>
      </c>
      <c r="L116" s="7">
        <f t="shared" si="42"/>
        <v>17</v>
      </c>
      <c r="M116" s="43">
        <f t="shared" si="41"/>
        <v>1</v>
      </c>
    </row>
    <row r="117" spans="2:13">
      <c r="B117" s="7" t="s">
        <v>20</v>
      </c>
      <c r="C117" s="7">
        <f t="shared" ref="C117:L117" si="43">C101</f>
        <v>0</v>
      </c>
      <c r="D117" s="7">
        <f t="shared" si="43"/>
        <v>0</v>
      </c>
      <c r="E117" s="7">
        <f t="shared" si="43"/>
        <v>11</v>
      </c>
      <c r="F117" s="7">
        <f t="shared" si="43"/>
        <v>0</v>
      </c>
      <c r="G117" s="7">
        <f t="shared" si="43"/>
        <v>0</v>
      </c>
      <c r="H117" s="7">
        <f t="shared" si="43"/>
        <v>0</v>
      </c>
      <c r="I117" s="7">
        <f t="shared" si="43"/>
        <v>0</v>
      </c>
      <c r="J117" s="7">
        <f t="shared" si="43"/>
        <v>0</v>
      </c>
      <c r="K117" s="7">
        <f t="shared" si="43"/>
        <v>0</v>
      </c>
      <c r="L117" s="7">
        <f t="shared" si="43"/>
        <v>11</v>
      </c>
      <c r="M117" s="43">
        <f t="shared" si="41"/>
        <v>1</v>
      </c>
    </row>
    <row r="118" spans="2:13" ht="16">
      <c r="B118" s="16" t="s">
        <v>128</v>
      </c>
      <c r="C118" s="16">
        <f>SUM(C115:C117)</f>
        <v>0</v>
      </c>
      <c r="D118" s="16">
        <f t="shared" ref="D118" si="44">SUM(D115:D117)</f>
        <v>0</v>
      </c>
      <c r="E118" s="16">
        <f t="shared" ref="E118" si="45">SUM(E115:E117)</f>
        <v>32</v>
      </c>
      <c r="F118" s="16">
        <f t="shared" ref="F118" si="46">SUM(F115:F117)</f>
        <v>0</v>
      </c>
      <c r="G118" s="16">
        <f t="shared" ref="G118" si="47">SUM(G115:G117)</f>
        <v>0</v>
      </c>
      <c r="H118" s="16">
        <f t="shared" ref="H118" si="48">SUM(H115:H117)</f>
        <v>0</v>
      </c>
      <c r="I118" s="16">
        <f t="shared" ref="I118" si="49">SUM(I115:I117)</f>
        <v>0</v>
      </c>
      <c r="J118" s="16">
        <f t="shared" ref="J118" si="50">SUM(J115:J117)</f>
        <v>0</v>
      </c>
      <c r="K118" s="16">
        <f t="shared" ref="K118" si="51">SUM(K115:K117)</f>
        <v>0</v>
      </c>
      <c r="L118" s="16">
        <f t="shared" ref="L118" si="52">SUM(L115:L117)</f>
        <v>32</v>
      </c>
      <c r="M118" s="99">
        <f t="shared" ref="M118" si="53">(D118+E118+G118+I118+J118+K118)/L118</f>
        <v>1</v>
      </c>
    </row>
    <row r="120" spans="2:13" ht="16">
      <c r="B120" s="16" t="s">
        <v>127</v>
      </c>
      <c r="C120" s="16" t="s">
        <v>42</v>
      </c>
      <c r="D120" s="16" t="s">
        <v>233</v>
      </c>
      <c r="E120" s="16" t="s">
        <v>81</v>
      </c>
      <c r="F120" s="16" t="s">
        <v>38</v>
      </c>
      <c r="G120" s="16" t="s">
        <v>247</v>
      </c>
      <c r="H120" s="16" t="s">
        <v>77</v>
      </c>
      <c r="I120" s="16" t="s">
        <v>257</v>
      </c>
      <c r="J120" s="16" t="s">
        <v>35</v>
      </c>
      <c r="K120" s="16" t="s">
        <v>235</v>
      </c>
      <c r="L120" s="16" t="s">
        <v>128</v>
      </c>
      <c r="M120" s="16" t="s">
        <v>135</v>
      </c>
    </row>
    <row r="121" spans="2:13">
      <c r="B121" s="7" t="s">
        <v>10</v>
      </c>
      <c r="C121" s="7">
        <f t="shared" ref="C121:L121" si="54">C96</f>
        <v>0</v>
      </c>
      <c r="D121" s="7">
        <f t="shared" si="54"/>
        <v>0</v>
      </c>
      <c r="E121" s="7">
        <f t="shared" si="54"/>
        <v>12</v>
      </c>
      <c r="F121" s="7">
        <f t="shared" si="54"/>
        <v>4</v>
      </c>
      <c r="G121" s="7">
        <f t="shared" si="54"/>
        <v>0</v>
      </c>
      <c r="H121" s="7">
        <f t="shared" si="54"/>
        <v>0</v>
      </c>
      <c r="I121" s="7">
        <f t="shared" si="54"/>
        <v>1</v>
      </c>
      <c r="J121" s="7">
        <f t="shared" si="54"/>
        <v>3</v>
      </c>
      <c r="K121" s="7">
        <f t="shared" si="54"/>
        <v>0</v>
      </c>
      <c r="L121" s="7">
        <f t="shared" si="54"/>
        <v>20</v>
      </c>
      <c r="M121" s="43">
        <f t="shared" ref="M121:M124" si="55">(D121+E121+G121+I121+J121+K121)/L121</f>
        <v>0.8</v>
      </c>
    </row>
    <row r="122" spans="2:13">
      <c r="B122" s="7" t="s">
        <v>12</v>
      </c>
      <c r="C122" s="7">
        <f t="shared" ref="C122:L122" si="56">C97</f>
        <v>0</v>
      </c>
      <c r="D122" s="7">
        <f t="shared" si="56"/>
        <v>0</v>
      </c>
      <c r="E122" s="7">
        <f t="shared" si="56"/>
        <v>3</v>
      </c>
      <c r="F122" s="7">
        <f t="shared" si="56"/>
        <v>0</v>
      </c>
      <c r="G122" s="7">
        <f t="shared" si="56"/>
        <v>0</v>
      </c>
      <c r="H122" s="7">
        <f t="shared" si="56"/>
        <v>0</v>
      </c>
      <c r="I122" s="7">
        <f t="shared" si="56"/>
        <v>0</v>
      </c>
      <c r="J122" s="7">
        <f t="shared" si="56"/>
        <v>0</v>
      </c>
      <c r="K122" s="7">
        <f t="shared" si="56"/>
        <v>0</v>
      </c>
      <c r="L122" s="7">
        <f t="shared" si="56"/>
        <v>3</v>
      </c>
      <c r="M122" s="43">
        <f t="shared" si="55"/>
        <v>1</v>
      </c>
    </row>
    <row r="123" spans="2:13">
      <c r="B123" s="7" t="s">
        <v>16</v>
      </c>
      <c r="C123" s="7">
        <f t="shared" ref="C123:L123" si="57">C99</f>
        <v>0</v>
      </c>
      <c r="D123" s="7">
        <f t="shared" si="57"/>
        <v>0</v>
      </c>
      <c r="E123" s="7">
        <f t="shared" si="57"/>
        <v>12</v>
      </c>
      <c r="F123" s="7">
        <f t="shared" si="57"/>
        <v>0</v>
      </c>
      <c r="G123" s="7">
        <f t="shared" si="57"/>
        <v>0</v>
      </c>
      <c r="H123" s="7">
        <f t="shared" si="57"/>
        <v>0</v>
      </c>
      <c r="I123" s="7">
        <f t="shared" si="57"/>
        <v>0</v>
      </c>
      <c r="J123" s="7">
        <f t="shared" si="57"/>
        <v>2</v>
      </c>
      <c r="K123" s="7">
        <f t="shared" si="57"/>
        <v>0</v>
      </c>
      <c r="L123" s="7">
        <f t="shared" si="57"/>
        <v>14</v>
      </c>
      <c r="M123" s="43">
        <f t="shared" si="55"/>
        <v>1</v>
      </c>
    </row>
    <row r="124" spans="2:13">
      <c r="B124" s="7" t="s">
        <v>21</v>
      </c>
      <c r="C124" s="7">
        <f t="shared" ref="C124:L124" si="58">C103</f>
        <v>0</v>
      </c>
      <c r="D124" s="7">
        <f t="shared" si="58"/>
        <v>0</v>
      </c>
      <c r="E124" s="7">
        <f t="shared" si="58"/>
        <v>7</v>
      </c>
      <c r="F124" s="7">
        <f t="shared" si="58"/>
        <v>0</v>
      </c>
      <c r="G124" s="7">
        <f t="shared" si="58"/>
        <v>0</v>
      </c>
      <c r="H124" s="7">
        <f t="shared" si="58"/>
        <v>5</v>
      </c>
      <c r="I124" s="7">
        <f t="shared" si="58"/>
        <v>0</v>
      </c>
      <c r="J124" s="7">
        <f t="shared" si="58"/>
        <v>2</v>
      </c>
      <c r="K124" s="7">
        <f t="shared" si="58"/>
        <v>0</v>
      </c>
      <c r="L124" s="7">
        <f t="shared" si="58"/>
        <v>14</v>
      </c>
      <c r="M124" s="43">
        <f t="shared" si="55"/>
        <v>0.6428571428571429</v>
      </c>
    </row>
    <row r="125" spans="2:13" ht="16">
      <c r="B125" s="16" t="s">
        <v>128</v>
      </c>
      <c r="C125" s="16">
        <f t="shared" ref="C125:L125" si="59">SUM(C121:C124)</f>
        <v>0</v>
      </c>
      <c r="D125" s="16">
        <f t="shared" si="59"/>
        <v>0</v>
      </c>
      <c r="E125" s="16">
        <f t="shared" si="59"/>
        <v>34</v>
      </c>
      <c r="F125" s="16">
        <f t="shared" si="59"/>
        <v>4</v>
      </c>
      <c r="G125" s="16">
        <f t="shared" si="59"/>
        <v>0</v>
      </c>
      <c r="H125" s="16">
        <f t="shared" si="59"/>
        <v>5</v>
      </c>
      <c r="I125" s="16">
        <f t="shared" si="59"/>
        <v>1</v>
      </c>
      <c r="J125" s="16">
        <f t="shared" si="59"/>
        <v>7</v>
      </c>
      <c r="K125" s="16">
        <f t="shared" si="59"/>
        <v>0</v>
      </c>
      <c r="L125" s="16">
        <f t="shared" si="59"/>
        <v>51</v>
      </c>
      <c r="M125" s="99">
        <f t="shared" ref="M125" si="60">(D125+E125+G125+I125+J125+K125)/L125</f>
        <v>0.82352941176470584</v>
      </c>
    </row>
    <row r="127" spans="2:13" ht="16">
      <c r="B127" s="16" t="s">
        <v>127</v>
      </c>
      <c r="C127" s="16" t="s">
        <v>42</v>
      </c>
      <c r="D127" s="16" t="s">
        <v>233</v>
      </c>
      <c r="E127" s="16" t="s">
        <v>81</v>
      </c>
      <c r="F127" s="16" t="s">
        <v>38</v>
      </c>
      <c r="G127" s="16" t="s">
        <v>247</v>
      </c>
      <c r="H127" s="16" t="s">
        <v>77</v>
      </c>
      <c r="I127" s="16" t="s">
        <v>257</v>
      </c>
      <c r="J127" s="16" t="s">
        <v>35</v>
      </c>
      <c r="K127" s="16" t="s">
        <v>235</v>
      </c>
      <c r="L127" s="16" t="s">
        <v>128</v>
      </c>
      <c r="M127" s="16" t="s">
        <v>135</v>
      </c>
    </row>
    <row r="128" spans="2:13">
      <c r="B128" s="7" t="s">
        <v>14</v>
      </c>
      <c r="C128" s="7">
        <f t="shared" ref="C128:L128" si="61">C98</f>
        <v>0</v>
      </c>
      <c r="D128" s="7">
        <f t="shared" si="61"/>
        <v>5</v>
      </c>
      <c r="E128" s="7">
        <f t="shared" si="61"/>
        <v>23</v>
      </c>
      <c r="F128" s="7">
        <f t="shared" si="61"/>
        <v>0</v>
      </c>
      <c r="G128" s="7">
        <f t="shared" si="61"/>
        <v>0</v>
      </c>
      <c r="H128" s="7">
        <f t="shared" si="61"/>
        <v>1</v>
      </c>
      <c r="I128" s="7">
        <f t="shared" si="61"/>
        <v>0</v>
      </c>
      <c r="J128" s="7">
        <f t="shared" si="61"/>
        <v>0</v>
      </c>
      <c r="K128" s="7">
        <f t="shared" si="61"/>
        <v>1</v>
      </c>
      <c r="L128" s="7">
        <f t="shared" si="61"/>
        <v>30</v>
      </c>
      <c r="M128" s="43">
        <f>(D128+E128+G128+I128+J128+K128)/L128</f>
        <v>0.96666666666666667</v>
      </c>
    </row>
    <row r="129" spans="2:17" ht="16">
      <c r="B129" s="16" t="s">
        <v>128</v>
      </c>
      <c r="C129" s="16">
        <f>SUM(C128)</f>
        <v>0</v>
      </c>
      <c r="D129" s="16">
        <f t="shared" ref="D129:L129" si="62">SUM(D128)</f>
        <v>5</v>
      </c>
      <c r="E129" s="16">
        <f t="shared" si="62"/>
        <v>23</v>
      </c>
      <c r="F129" s="16">
        <f t="shared" si="62"/>
        <v>0</v>
      </c>
      <c r="G129" s="16">
        <f t="shared" si="62"/>
        <v>0</v>
      </c>
      <c r="H129" s="16">
        <f t="shared" si="62"/>
        <v>1</v>
      </c>
      <c r="I129" s="16">
        <f t="shared" si="62"/>
        <v>0</v>
      </c>
      <c r="J129" s="16">
        <f t="shared" si="62"/>
        <v>0</v>
      </c>
      <c r="K129" s="16">
        <f t="shared" si="62"/>
        <v>1</v>
      </c>
      <c r="L129" s="16">
        <f t="shared" si="62"/>
        <v>30</v>
      </c>
      <c r="M129" s="99">
        <f t="shared" ref="M129" si="63">(D129+E129+G129+I129+J129+K129)/L129</f>
        <v>0.96666666666666667</v>
      </c>
    </row>
    <row r="131" spans="2:17" ht="16">
      <c r="B131" s="39" t="s">
        <v>127</v>
      </c>
      <c r="C131" s="39" t="s">
        <v>42</v>
      </c>
      <c r="D131" s="39" t="s">
        <v>233</v>
      </c>
      <c r="E131" s="39" t="s">
        <v>81</v>
      </c>
      <c r="F131" s="39" t="s">
        <v>38</v>
      </c>
      <c r="G131" s="39" t="s">
        <v>247</v>
      </c>
      <c r="H131" s="39" t="s">
        <v>77</v>
      </c>
      <c r="I131" s="39" t="s">
        <v>257</v>
      </c>
      <c r="J131" s="39" t="s">
        <v>35</v>
      </c>
      <c r="K131" s="39" t="s">
        <v>235</v>
      </c>
      <c r="L131" s="39" t="s">
        <v>128</v>
      </c>
      <c r="M131" s="39" t="s">
        <v>135</v>
      </c>
      <c r="O131" s="39" t="s">
        <v>127</v>
      </c>
      <c r="P131" s="39" t="s">
        <v>128</v>
      </c>
      <c r="Q131" s="39" t="s">
        <v>135</v>
      </c>
    </row>
    <row r="132" spans="2:17" ht="16">
      <c r="B132" s="4" t="s">
        <v>9</v>
      </c>
      <c r="C132" s="7">
        <f t="shared" ref="C132:L132" si="64">C112</f>
        <v>1</v>
      </c>
      <c r="D132" s="7">
        <f t="shared" si="64"/>
        <v>0</v>
      </c>
      <c r="E132" s="7">
        <f t="shared" si="64"/>
        <v>41</v>
      </c>
      <c r="F132" s="7">
        <f t="shared" si="64"/>
        <v>0</v>
      </c>
      <c r="G132" s="7">
        <f t="shared" si="64"/>
        <v>0</v>
      </c>
      <c r="H132" s="7">
        <f t="shared" si="64"/>
        <v>3</v>
      </c>
      <c r="I132" s="7">
        <f t="shared" si="64"/>
        <v>0</v>
      </c>
      <c r="J132" s="7">
        <f t="shared" si="64"/>
        <v>14</v>
      </c>
      <c r="K132" s="7">
        <f t="shared" si="64"/>
        <v>0</v>
      </c>
      <c r="L132" s="7">
        <f t="shared" si="64"/>
        <v>59</v>
      </c>
      <c r="M132" s="43">
        <f t="shared" ref="M132:M135" si="65">(D132+E132+G132+I132+J132+K132)/L132</f>
        <v>0.93220338983050843</v>
      </c>
      <c r="O132" s="4" t="s">
        <v>9</v>
      </c>
      <c r="P132" s="7">
        <f>L132</f>
        <v>59</v>
      </c>
      <c r="Q132" s="42">
        <f>M132</f>
        <v>0.93220338983050843</v>
      </c>
    </row>
    <row r="133" spans="2:17" ht="16">
      <c r="B133" s="4" t="s">
        <v>8</v>
      </c>
      <c r="C133" s="7">
        <f t="shared" ref="C133:L133" si="66">C118</f>
        <v>0</v>
      </c>
      <c r="D133" s="7">
        <f t="shared" si="66"/>
        <v>0</v>
      </c>
      <c r="E133" s="7">
        <f t="shared" si="66"/>
        <v>32</v>
      </c>
      <c r="F133" s="7">
        <f t="shared" si="66"/>
        <v>0</v>
      </c>
      <c r="G133" s="7">
        <f t="shared" si="66"/>
        <v>0</v>
      </c>
      <c r="H133" s="7">
        <f t="shared" si="66"/>
        <v>0</v>
      </c>
      <c r="I133" s="7">
        <f t="shared" si="66"/>
        <v>0</v>
      </c>
      <c r="J133" s="7">
        <f t="shared" si="66"/>
        <v>0</v>
      </c>
      <c r="K133" s="7">
        <f t="shared" si="66"/>
        <v>0</v>
      </c>
      <c r="L133" s="7">
        <f t="shared" si="66"/>
        <v>32</v>
      </c>
      <c r="M133" s="43">
        <f t="shared" si="65"/>
        <v>1</v>
      </c>
      <c r="O133" s="4" t="s">
        <v>8</v>
      </c>
      <c r="P133" s="7">
        <f t="shared" ref="P133:P135" si="67">L133</f>
        <v>32</v>
      </c>
      <c r="Q133" s="42">
        <f t="shared" ref="Q133:Q135" si="68">M133</f>
        <v>1</v>
      </c>
    </row>
    <row r="134" spans="2:17" ht="16">
      <c r="B134" s="4" t="s">
        <v>13</v>
      </c>
      <c r="C134" s="7">
        <f>C125</f>
        <v>0</v>
      </c>
      <c r="D134" s="7">
        <f t="shared" ref="D134:L134" si="69">D125</f>
        <v>0</v>
      </c>
      <c r="E134" s="7">
        <f t="shared" si="69"/>
        <v>34</v>
      </c>
      <c r="F134" s="7">
        <f t="shared" si="69"/>
        <v>4</v>
      </c>
      <c r="G134" s="7">
        <f t="shared" si="69"/>
        <v>0</v>
      </c>
      <c r="H134" s="7">
        <f t="shared" si="69"/>
        <v>5</v>
      </c>
      <c r="I134" s="7">
        <f t="shared" si="69"/>
        <v>1</v>
      </c>
      <c r="J134" s="7">
        <f t="shared" si="69"/>
        <v>7</v>
      </c>
      <c r="K134" s="7">
        <f t="shared" si="69"/>
        <v>0</v>
      </c>
      <c r="L134" s="7">
        <f t="shared" si="69"/>
        <v>51</v>
      </c>
      <c r="M134" s="43">
        <f t="shared" si="65"/>
        <v>0.82352941176470584</v>
      </c>
      <c r="O134" s="4" t="s">
        <v>13</v>
      </c>
      <c r="P134" s="7">
        <f t="shared" si="67"/>
        <v>51</v>
      </c>
      <c r="Q134" s="42">
        <f t="shared" si="68"/>
        <v>0.82352941176470584</v>
      </c>
    </row>
    <row r="135" spans="2:17">
      <c r="B135" s="7" t="s">
        <v>15</v>
      </c>
      <c r="C135" s="7">
        <f>C129</f>
        <v>0</v>
      </c>
      <c r="D135" s="7">
        <f t="shared" ref="D135:L135" si="70">D129</f>
        <v>5</v>
      </c>
      <c r="E135" s="7">
        <f t="shared" si="70"/>
        <v>23</v>
      </c>
      <c r="F135" s="7">
        <f t="shared" si="70"/>
        <v>0</v>
      </c>
      <c r="G135" s="7">
        <f t="shared" si="70"/>
        <v>0</v>
      </c>
      <c r="H135" s="7">
        <f t="shared" si="70"/>
        <v>1</v>
      </c>
      <c r="I135" s="7">
        <f t="shared" si="70"/>
        <v>0</v>
      </c>
      <c r="J135" s="7">
        <f t="shared" si="70"/>
        <v>0</v>
      </c>
      <c r="K135" s="7">
        <f t="shared" si="70"/>
        <v>1</v>
      </c>
      <c r="L135" s="7">
        <f t="shared" si="70"/>
        <v>30</v>
      </c>
      <c r="M135" s="43">
        <f t="shared" si="65"/>
        <v>0.96666666666666667</v>
      </c>
      <c r="O135" s="7" t="s">
        <v>15</v>
      </c>
      <c r="P135" s="7">
        <f t="shared" si="67"/>
        <v>30</v>
      </c>
      <c r="Q135" s="42">
        <f t="shared" si="68"/>
        <v>0.96666666666666667</v>
      </c>
    </row>
    <row r="136" spans="2:17" ht="16">
      <c r="B136" s="39" t="s">
        <v>128</v>
      </c>
      <c r="C136" s="39">
        <f>SUM(C132:C135)</f>
        <v>1</v>
      </c>
      <c r="D136" s="39">
        <f t="shared" ref="D136:L136" si="71">SUM(D132:D135)</f>
        <v>5</v>
      </c>
      <c r="E136" s="39">
        <f t="shared" si="71"/>
        <v>130</v>
      </c>
      <c r="F136" s="39">
        <f t="shared" si="71"/>
        <v>4</v>
      </c>
      <c r="G136" s="39">
        <f t="shared" si="71"/>
        <v>0</v>
      </c>
      <c r="H136" s="39">
        <f t="shared" si="71"/>
        <v>9</v>
      </c>
      <c r="I136" s="39">
        <f t="shared" si="71"/>
        <v>1</v>
      </c>
      <c r="J136" s="39">
        <f t="shared" si="71"/>
        <v>21</v>
      </c>
      <c r="K136" s="39">
        <f t="shared" si="71"/>
        <v>1</v>
      </c>
      <c r="L136" s="39">
        <f t="shared" si="71"/>
        <v>172</v>
      </c>
      <c r="M136" s="100">
        <f t="shared" ref="M136" si="72">(D136+E136+G136+I136+J136+K136)/L136</f>
        <v>0.91860465116279066</v>
      </c>
      <c r="O136" s="39" t="s">
        <v>128</v>
      </c>
      <c r="P136" s="39">
        <f>L136</f>
        <v>172</v>
      </c>
      <c r="Q136" s="41">
        <f>M136</f>
        <v>0.91860465116279066</v>
      </c>
    </row>
    <row r="138" spans="2:17" ht="16">
      <c r="B138" s="44" t="s">
        <v>82</v>
      </c>
      <c r="O138" s="44" t="s">
        <v>82</v>
      </c>
    </row>
    <row r="139" spans="2:17" ht="16">
      <c r="B139" s="47" t="s">
        <v>0</v>
      </c>
      <c r="C139" s="16" t="s">
        <v>1</v>
      </c>
      <c r="D139" s="16" t="s">
        <v>82</v>
      </c>
      <c r="E139" s="16" t="s">
        <v>136</v>
      </c>
      <c r="F139" s="16" t="s">
        <v>137</v>
      </c>
      <c r="O139" s="45" t="s">
        <v>0</v>
      </c>
      <c r="P139" s="16" t="s">
        <v>1</v>
      </c>
      <c r="Q139" s="16" t="s">
        <v>137</v>
      </c>
    </row>
    <row r="140" spans="2:17" ht="16">
      <c r="B140" s="26" t="s">
        <v>7</v>
      </c>
      <c r="C140" s="5" t="s">
        <v>8</v>
      </c>
      <c r="D140" s="26">
        <v>0</v>
      </c>
      <c r="E140" s="7">
        <f t="shared" ref="E140:E150" si="73">L95</f>
        <v>4</v>
      </c>
      <c r="F140" s="46">
        <f>D140/E140</f>
        <v>0</v>
      </c>
      <c r="G140" t="s">
        <v>464</v>
      </c>
      <c r="O140" s="26" t="s">
        <v>7</v>
      </c>
      <c r="P140" s="5" t="s">
        <v>8</v>
      </c>
      <c r="Q140" s="46">
        <f>F140</f>
        <v>0</v>
      </c>
    </row>
    <row r="141" spans="2:17" ht="16">
      <c r="B141" s="26" t="s">
        <v>10</v>
      </c>
      <c r="C141" s="5" t="s">
        <v>11</v>
      </c>
      <c r="D141" s="26">
        <v>0</v>
      </c>
      <c r="E141" s="7">
        <f t="shared" si="73"/>
        <v>20</v>
      </c>
      <c r="F141" s="46">
        <f t="shared" ref="F141:F150" si="74">D141/E141</f>
        <v>0</v>
      </c>
      <c r="O141" s="26" t="s">
        <v>10</v>
      </c>
      <c r="P141" s="5" t="s">
        <v>11</v>
      </c>
      <c r="Q141" s="46">
        <f t="shared" ref="Q141:Q150" si="75">F141</f>
        <v>0</v>
      </c>
    </row>
    <row r="142" spans="2:17" ht="16">
      <c r="B142" s="26" t="s">
        <v>12</v>
      </c>
      <c r="C142" s="5" t="s">
        <v>11</v>
      </c>
      <c r="D142" s="26">
        <v>0</v>
      </c>
      <c r="E142" s="7">
        <f t="shared" si="73"/>
        <v>3</v>
      </c>
      <c r="F142" s="46">
        <f t="shared" si="74"/>
        <v>0</v>
      </c>
      <c r="O142" s="26" t="s">
        <v>12</v>
      </c>
      <c r="P142" s="5" t="s">
        <v>11</v>
      </c>
      <c r="Q142" s="46">
        <f t="shared" si="75"/>
        <v>0</v>
      </c>
    </row>
    <row r="143" spans="2:17" ht="16">
      <c r="B143" s="26" t="s">
        <v>14</v>
      </c>
      <c r="C143" s="5" t="s">
        <v>15</v>
      </c>
      <c r="D143" s="26">
        <v>0</v>
      </c>
      <c r="E143" s="7">
        <f t="shared" si="73"/>
        <v>30</v>
      </c>
      <c r="F143" s="46">
        <f t="shared" si="74"/>
        <v>0</v>
      </c>
      <c r="O143" s="26" t="s">
        <v>14</v>
      </c>
      <c r="P143" s="5" t="s">
        <v>15</v>
      </c>
      <c r="Q143" s="46">
        <f t="shared" si="75"/>
        <v>0</v>
      </c>
    </row>
    <row r="144" spans="2:17" ht="16">
      <c r="B144" s="26" t="s">
        <v>16</v>
      </c>
      <c r="C144" s="5" t="s">
        <v>11</v>
      </c>
      <c r="D144" s="26">
        <v>1</v>
      </c>
      <c r="E144" s="7">
        <f t="shared" si="73"/>
        <v>14</v>
      </c>
      <c r="F144" s="46">
        <f t="shared" si="74"/>
        <v>7.1428571428571425E-2</v>
      </c>
      <c r="O144" s="26" t="s">
        <v>16</v>
      </c>
      <c r="P144" s="5" t="s">
        <v>11</v>
      </c>
      <c r="Q144" s="46">
        <f t="shared" si="75"/>
        <v>7.1428571428571425E-2</v>
      </c>
    </row>
    <row r="145" spans="2:17" ht="16">
      <c r="B145" s="26" t="s">
        <v>18</v>
      </c>
      <c r="C145" s="5" t="s">
        <v>8</v>
      </c>
      <c r="D145" s="26">
        <v>0</v>
      </c>
      <c r="E145" s="7">
        <f t="shared" si="73"/>
        <v>17</v>
      </c>
      <c r="F145" s="46">
        <f t="shared" si="74"/>
        <v>0</v>
      </c>
      <c r="O145" s="26" t="s">
        <v>18</v>
      </c>
      <c r="P145" s="5" t="s">
        <v>8</v>
      </c>
      <c r="Q145" s="46">
        <f t="shared" si="75"/>
        <v>0</v>
      </c>
    </row>
    <row r="146" spans="2:17" ht="16">
      <c r="B146" s="26" t="s">
        <v>20</v>
      </c>
      <c r="C146" s="5" t="s">
        <v>8</v>
      </c>
      <c r="D146" s="26">
        <v>0</v>
      </c>
      <c r="E146" s="7">
        <f t="shared" si="73"/>
        <v>11</v>
      </c>
      <c r="F146" s="46">
        <f t="shared" si="74"/>
        <v>0</v>
      </c>
      <c r="O146" s="26" t="s">
        <v>20</v>
      </c>
      <c r="P146" s="5" t="s">
        <v>8</v>
      </c>
      <c r="Q146" s="46">
        <f t="shared" si="75"/>
        <v>0</v>
      </c>
    </row>
    <row r="147" spans="2:17" ht="16">
      <c r="B147" s="26" t="s">
        <v>217</v>
      </c>
      <c r="C147" s="5" t="s">
        <v>9</v>
      </c>
      <c r="D147" s="26">
        <v>0</v>
      </c>
      <c r="E147" s="7">
        <f t="shared" si="73"/>
        <v>19</v>
      </c>
      <c r="F147" s="46">
        <f t="shared" si="74"/>
        <v>0</v>
      </c>
      <c r="O147" s="26" t="s">
        <v>217</v>
      </c>
      <c r="P147" s="5" t="s">
        <v>9</v>
      </c>
      <c r="Q147" s="46">
        <f t="shared" si="75"/>
        <v>0</v>
      </c>
    </row>
    <row r="148" spans="2:17" ht="16">
      <c r="B148" s="26" t="s">
        <v>21</v>
      </c>
      <c r="C148" s="5" t="s">
        <v>11</v>
      </c>
      <c r="D148" s="26">
        <v>0</v>
      </c>
      <c r="E148" s="7">
        <f t="shared" si="73"/>
        <v>14</v>
      </c>
      <c r="F148" s="46">
        <f t="shared" si="74"/>
        <v>0</v>
      </c>
      <c r="O148" s="26" t="s">
        <v>21</v>
      </c>
      <c r="P148" s="5" t="s">
        <v>11</v>
      </c>
      <c r="Q148" s="46">
        <f t="shared" si="75"/>
        <v>0</v>
      </c>
    </row>
    <row r="149" spans="2:17" ht="16">
      <c r="B149" s="26" t="s">
        <v>22</v>
      </c>
      <c r="C149" s="5" t="s">
        <v>9</v>
      </c>
      <c r="D149" s="26">
        <v>0</v>
      </c>
      <c r="E149" s="7">
        <f t="shared" si="73"/>
        <v>16</v>
      </c>
      <c r="F149" s="46">
        <f t="shared" si="74"/>
        <v>0</v>
      </c>
      <c r="O149" s="26" t="s">
        <v>22</v>
      </c>
      <c r="P149" s="5" t="s">
        <v>9</v>
      </c>
      <c r="Q149" s="46">
        <f t="shared" si="75"/>
        <v>0</v>
      </c>
    </row>
    <row r="150" spans="2:17" ht="16">
      <c r="B150" s="26" t="s">
        <v>23</v>
      </c>
      <c r="C150" s="5" t="s">
        <v>9</v>
      </c>
      <c r="D150" s="26">
        <v>1</v>
      </c>
      <c r="E150" s="7">
        <f t="shared" si="73"/>
        <v>24</v>
      </c>
      <c r="F150" s="46">
        <f t="shared" si="74"/>
        <v>4.1666666666666664E-2</v>
      </c>
      <c r="O150" s="26" t="s">
        <v>23</v>
      </c>
      <c r="P150" s="5" t="s">
        <v>9</v>
      </c>
      <c r="Q150" s="46">
        <f t="shared" si="75"/>
        <v>4.1666666666666664E-2</v>
      </c>
    </row>
    <row r="151" spans="2:17">
      <c r="B151" s="47" t="s">
        <v>128</v>
      </c>
      <c r="D151" s="45">
        <f>SUM(D140:D150)</f>
        <v>2</v>
      </c>
      <c r="E151" s="45">
        <f>SUM(E140:E150)</f>
        <v>172</v>
      </c>
      <c r="F151" s="48">
        <f>D151/E151</f>
        <v>1.1627906976744186E-2</v>
      </c>
      <c r="O151" s="47" t="s">
        <v>128</v>
      </c>
      <c r="Q151" s="48">
        <f>F151</f>
        <v>1.1627906976744186E-2</v>
      </c>
    </row>
    <row r="153" spans="2:17" ht="16">
      <c r="B153" s="44" t="s">
        <v>82</v>
      </c>
    </row>
    <row r="154" spans="2:17" ht="16">
      <c r="B154" s="45" t="s">
        <v>0</v>
      </c>
      <c r="C154" s="16" t="s">
        <v>1</v>
      </c>
      <c r="D154" s="16" t="s">
        <v>82</v>
      </c>
      <c r="E154" s="16" t="s">
        <v>136</v>
      </c>
      <c r="F154" s="16" t="s">
        <v>137</v>
      </c>
    </row>
    <row r="155" spans="2:17" ht="16">
      <c r="B155" s="26" t="s">
        <v>217</v>
      </c>
      <c r="C155" s="5" t="s">
        <v>9</v>
      </c>
      <c r="D155" s="26">
        <f>D147</f>
        <v>0</v>
      </c>
      <c r="E155" s="26">
        <f>E147</f>
        <v>19</v>
      </c>
      <c r="F155" s="46">
        <f t="shared" ref="F155" si="76">D155/E155</f>
        <v>0</v>
      </c>
    </row>
    <row r="156" spans="2:17" ht="16">
      <c r="B156" s="7" t="s">
        <v>22</v>
      </c>
      <c r="C156" s="5" t="s">
        <v>9</v>
      </c>
      <c r="D156" s="26">
        <f>D149</f>
        <v>0</v>
      </c>
      <c r="E156" s="26">
        <f>E149</f>
        <v>16</v>
      </c>
      <c r="F156" s="46">
        <f t="shared" ref="F156:F157" si="77">D156/E156</f>
        <v>0</v>
      </c>
    </row>
    <row r="157" spans="2:17" ht="16">
      <c r="B157" s="7" t="s">
        <v>23</v>
      </c>
      <c r="C157" s="5" t="s">
        <v>9</v>
      </c>
      <c r="D157" s="26">
        <f>D150</f>
        <v>1</v>
      </c>
      <c r="E157" s="26">
        <f>E150</f>
        <v>24</v>
      </c>
      <c r="F157" s="46">
        <f t="shared" si="77"/>
        <v>4.1666666666666664E-2</v>
      </c>
    </row>
    <row r="158" spans="2:17">
      <c r="B158" s="47" t="s">
        <v>128</v>
      </c>
      <c r="D158" s="45">
        <f>SUM(D155:D157)</f>
        <v>1</v>
      </c>
      <c r="E158" s="45">
        <f>SUM(E155:E157)</f>
        <v>59</v>
      </c>
      <c r="F158" s="48">
        <f>D158/E158</f>
        <v>1.6949152542372881E-2</v>
      </c>
    </row>
    <row r="160" spans="2:17" ht="16">
      <c r="B160" s="44" t="s">
        <v>82</v>
      </c>
    </row>
    <row r="161" spans="2:6" ht="16">
      <c r="B161" s="45" t="s">
        <v>0</v>
      </c>
      <c r="C161" s="16" t="s">
        <v>1</v>
      </c>
      <c r="D161" s="16" t="s">
        <v>82</v>
      </c>
      <c r="E161" s="16" t="s">
        <v>136</v>
      </c>
      <c r="F161" s="16" t="s">
        <v>137</v>
      </c>
    </row>
    <row r="162" spans="2:6" ht="16">
      <c r="B162" s="7" t="s">
        <v>7</v>
      </c>
      <c r="C162" s="5" t="s">
        <v>8</v>
      </c>
      <c r="D162" s="26">
        <f>D140</f>
        <v>0</v>
      </c>
      <c r="E162" s="26">
        <f>E140</f>
        <v>4</v>
      </c>
      <c r="F162" s="46">
        <f>D162/E162</f>
        <v>0</v>
      </c>
    </row>
    <row r="163" spans="2:6" ht="16">
      <c r="B163" s="7" t="s">
        <v>18</v>
      </c>
      <c r="C163" s="5" t="s">
        <v>8</v>
      </c>
      <c r="D163" s="26">
        <f>D145</f>
        <v>0</v>
      </c>
      <c r="E163" s="26">
        <f>E145</f>
        <v>17</v>
      </c>
      <c r="F163" s="46">
        <f t="shared" ref="F163:F164" si="78">D163/E163</f>
        <v>0</v>
      </c>
    </row>
    <row r="164" spans="2:6" ht="16">
      <c r="B164" s="7" t="s">
        <v>20</v>
      </c>
      <c r="C164" s="5" t="s">
        <v>8</v>
      </c>
      <c r="D164" s="26">
        <f>D146</f>
        <v>0</v>
      </c>
      <c r="E164" s="26">
        <f>E146</f>
        <v>11</v>
      </c>
      <c r="F164" s="46">
        <f t="shared" si="78"/>
        <v>0</v>
      </c>
    </row>
    <row r="165" spans="2:6">
      <c r="B165" s="47" t="s">
        <v>128</v>
      </c>
      <c r="D165" s="45">
        <f>SUM(D162:D164)</f>
        <v>0</v>
      </c>
      <c r="E165" s="45">
        <f>SUM(E162:E164)</f>
        <v>32</v>
      </c>
      <c r="F165" s="48">
        <f>D165/E165</f>
        <v>0</v>
      </c>
    </row>
    <row r="167" spans="2:6" ht="16">
      <c r="B167" s="44" t="s">
        <v>82</v>
      </c>
    </row>
    <row r="168" spans="2:6" ht="16">
      <c r="B168" s="45" t="s">
        <v>0</v>
      </c>
      <c r="C168" s="16" t="s">
        <v>1</v>
      </c>
      <c r="D168" s="16" t="s">
        <v>82</v>
      </c>
      <c r="E168" s="16" t="s">
        <v>136</v>
      </c>
      <c r="F168" s="16" t="s">
        <v>137</v>
      </c>
    </row>
    <row r="169" spans="2:6" ht="16">
      <c r="B169" s="7" t="s">
        <v>10</v>
      </c>
      <c r="C169" s="5" t="s">
        <v>11</v>
      </c>
      <c r="D169" s="26">
        <f>D141</f>
        <v>0</v>
      </c>
      <c r="E169" s="26">
        <f>E141</f>
        <v>20</v>
      </c>
      <c r="F169" s="46">
        <f t="shared" ref="F169:F172" si="79">D169/E169</f>
        <v>0</v>
      </c>
    </row>
    <row r="170" spans="2:6" ht="16">
      <c r="B170" s="7" t="s">
        <v>12</v>
      </c>
      <c r="C170" s="5" t="s">
        <v>11</v>
      </c>
      <c r="D170" s="26">
        <f>D142</f>
        <v>0</v>
      </c>
      <c r="E170" s="26">
        <f>E142</f>
        <v>3</v>
      </c>
      <c r="F170" s="46">
        <f t="shared" si="79"/>
        <v>0</v>
      </c>
    </row>
    <row r="171" spans="2:6" ht="16">
      <c r="B171" s="7" t="s">
        <v>16</v>
      </c>
      <c r="C171" s="5" t="s">
        <v>11</v>
      </c>
      <c r="D171" s="26">
        <f>D144</f>
        <v>1</v>
      </c>
      <c r="E171" s="26">
        <f>E144</f>
        <v>14</v>
      </c>
      <c r="F171" s="46">
        <f t="shared" si="79"/>
        <v>7.1428571428571425E-2</v>
      </c>
    </row>
    <row r="172" spans="2:6" ht="16">
      <c r="B172" s="7" t="s">
        <v>21</v>
      </c>
      <c r="C172" s="5" t="s">
        <v>11</v>
      </c>
      <c r="D172" s="26">
        <f>D148</f>
        <v>0</v>
      </c>
      <c r="E172" s="26">
        <f>E148</f>
        <v>14</v>
      </c>
      <c r="F172" s="46">
        <f t="shared" si="79"/>
        <v>0</v>
      </c>
    </row>
    <row r="173" spans="2:6">
      <c r="B173" s="47" t="s">
        <v>128</v>
      </c>
      <c r="D173" s="45">
        <f>SUM(D169:D172)</f>
        <v>1</v>
      </c>
      <c r="E173" s="45">
        <f>SUM(E169:E172)</f>
        <v>51</v>
      </c>
      <c r="F173" s="48">
        <f>D173/E173</f>
        <v>1.9607843137254902E-2</v>
      </c>
    </row>
    <row r="175" spans="2:6" ht="16">
      <c r="B175" s="44" t="s">
        <v>82</v>
      </c>
    </row>
    <row r="176" spans="2:6" ht="16">
      <c r="B176" s="45" t="s">
        <v>0</v>
      </c>
      <c r="C176" s="16" t="s">
        <v>1</v>
      </c>
      <c r="D176" s="16" t="s">
        <v>82</v>
      </c>
      <c r="E176" s="16" t="s">
        <v>136</v>
      </c>
      <c r="F176" s="16" t="s">
        <v>137</v>
      </c>
    </row>
    <row r="177" spans="2:17">
      <c r="B177" s="7" t="s">
        <v>14</v>
      </c>
      <c r="C177" s="7" t="s">
        <v>15</v>
      </c>
      <c r="D177" s="26">
        <f>D143</f>
        <v>0</v>
      </c>
      <c r="E177" s="26">
        <f>E143</f>
        <v>30</v>
      </c>
      <c r="F177" s="46">
        <f t="shared" ref="F177" si="80">D177/E177</f>
        <v>0</v>
      </c>
    </row>
    <row r="178" spans="2:17">
      <c r="B178" s="47" t="s">
        <v>128</v>
      </c>
      <c r="D178" s="45">
        <f>SUM(D177:D177)</f>
        <v>0</v>
      </c>
      <c r="E178" s="45">
        <f>SUM(E177:E177)</f>
        <v>30</v>
      </c>
      <c r="F178" s="48">
        <f>D178/E178</f>
        <v>0</v>
      </c>
    </row>
    <row r="180" spans="2:17" ht="16">
      <c r="B180" s="25" t="s">
        <v>1</v>
      </c>
      <c r="C180" s="39" t="s">
        <v>82</v>
      </c>
      <c r="D180" s="39" t="s">
        <v>136</v>
      </c>
      <c r="E180" s="39" t="s">
        <v>137</v>
      </c>
      <c r="O180" s="25" t="s">
        <v>1</v>
      </c>
      <c r="P180" s="39" t="s">
        <v>137</v>
      </c>
    </row>
    <row r="181" spans="2:17" ht="16">
      <c r="B181" s="4" t="s">
        <v>9</v>
      </c>
      <c r="C181" s="26">
        <f>D158</f>
        <v>1</v>
      </c>
      <c r="D181" s="26">
        <f>E158</f>
        <v>59</v>
      </c>
      <c r="E181" s="46">
        <f t="shared" ref="E181:E184" si="81">C181/D181</f>
        <v>1.6949152542372881E-2</v>
      </c>
      <c r="O181" s="4" t="s">
        <v>9</v>
      </c>
      <c r="P181" s="46">
        <f>E181</f>
        <v>1.6949152542372881E-2</v>
      </c>
    </row>
    <row r="182" spans="2:17" ht="16">
      <c r="B182" s="4" t="s">
        <v>8</v>
      </c>
      <c r="C182" s="26">
        <f>D165</f>
        <v>0</v>
      </c>
      <c r="D182" s="26">
        <f>E165</f>
        <v>32</v>
      </c>
      <c r="E182" s="46">
        <f t="shared" si="81"/>
        <v>0</v>
      </c>
      <c r="O182" s="4" t="s">
        <v>8</v>
      </c>
      <c r="P182" s="46">
        <f t="shared" ref="P182:P184" si="82">E182</f>
        <v>0</v>
      </c>
    </row>
    <row r="183" spans="2:17" ht="16">
      <c r="B183" s="4" t="s">
        <v>13</v>
      </c>
      <c r="C183" s="26">
        <f>D173</f>
        <v>1</v>
      </c>
      <c r="D183" s="26">
        <f>E173</f>
        <v>51</v>
      </c>
      <c r="E183" s="46">
        <f t="shared" si="81"/>
        <v>1.9607843137254902E-2</v>
      </c>
      <c r="O183" s="4" t="s">
        <v>13</v>
      </c>
      <c r="P183" s="46">
        <f t="shared" si="82"/>
        <v>1.9607843137254902E-2</v>
      </c>
    </row>
    <row r="184" spans="2:17">
      <c r="B184" s="7" t="s">
        <v>15</v>
      </c>
      <c r="C184" s="26">
        <f>D178</f>
        <v>0</v>
      </c>
      <c r="D184" s="26">
        <f>E178</f>
        <v>30</v>
      </c>
      <c r="E184" s="46">
        <f t="shared" si="81"/>
        <v>0</v>
      </c>
      <c r="O184" s="7" t="s">
        <v>15</v>
      </c>
      <c r="P184" s="46">
        <f t="shared" si="82"/>
        <v>0</v>
      </c>
    </row>
    <row r="185" spans="2:17">
      <c r="B185" s="25" t="s">
        <v>128</v>
      </c>
      <c r="C185" s="49">
        <f>SUM(C181:C184)</f>
        <v>2</v>
      </c>
      <c r="D185" s="49">
        <f>SUM(D181:D184)</f>
        <v>172</v>
      </c>
      <c r="E185" s="50">
        <f>C185/D185</f>
        <v>1.1627906976744186E-2</v>
      </c>
      <c r="O185" s="25" t="s">
        <v>128</v>
      </c>
      <c r="P185" s="50">
        <f>E185</f>
        <v>1.1627906976744186E-2</v>
      </c>
    </row>
    <row r="188" spans="2:17" ht="16">
      <c r="B188" s="44" t="s">
        <v>83</v>
      </c>
      <c r="O188" s="44" t="s">
        <v>83</v>
      </c>
    </row>
    <row r="189" spans="2:17" ht="16">
      <c r="B189" s="47" t="s">
        <v>0</v>
      </c>
      <c r="C189" s="16" t="s">
        <v>1</v>
      </c>
      <c r="D189" s="93" t="s">
        <v>301</v>
      </c>
      <c r="E189" s="16" t="s">
        <v>136</v>
      </c>
      <c r="F189" s="16" t="s">
        <v>138</v>
      </c>
      <c r="O189" s="47" t="s">
        <v>0</v>
      </c>
      <c r="P189" s="16" t="s">
        <v>1</v>
      </c>
      <c r="Q189" s="16" t="s">
        <v>138</v>
      </c>
    </row>
    <row r="190" spans="2:17" ht="16">
      <c r="B190" s="26" t="s">
        <v>7</v>
      </c>
      <c r="C190" s="5" t="s">
        <v>8</v>
      </c>
      <c r="D190" s="26">
        <v>0</v>
      </c>
      <c r="E190" s="7">
        <f t="shared" ref="E190:E200" si="83">E140</f>
        <v>4</v>
      </c>
      <c r="F190" s="46">
        <f>D190/E190</f>
        <v>0</v>
      </c>
      <c r="G190" t="s">
        <v>464</v>
      </c>
      <c r="O190" s="26" t="s">
        <v>7</v>
      </c>
      <c r="P190" s="5" t="s">
        <v>8</v>
      </c>
      <c r="Q190" s="46">
        <f>F190</f>
        <v>0</v>
      </c>
    </row>
    <row r="191" spans="2:17" ht="16">
      <c r="B191" s="26" t="s">
        <v>10</v>
      </c>
      <c r="C191" s="5" t="s">
        <v>11</v>
      </c>
      <c r="D191" s="26">
        <v>3</v>
      </c>
      <c r="E191" s="7">
        <f t="shared" si="83"/>
        <v>20</v>
      </c>
      <c r="F191" s="46">
        <f t="shared" ref="F191:F200" si="84">D191/E191</f>
        <v>0.15</v>
      </c>
      <c r="O191" s="26" t="s">
        <v>10</v>
      </c>
      <c r="P191" s="5" t="s">
        <v>11</v>
      </c>
      <c r="Q191" s="46">
        <f t="shared" ref="Q191:Q200" si="85">F191</f>
        <v>0.15</v>
      </c>
    </row>
    <row r="192" spans="2:17" ht="16">
      <c r="B192" s="26" t="s">
        <v>12</v>
      </c>
      <c r="C192" s="5" t="s">
        <v>11</v>
      </c>
      <c r="D192" s="26">
        <v>0</v>
      </c>
      <c r="E192" s="7">
        <f t="shared" si="83"/>
        <v>3</v>
      </c>
      <c r="F192" s="46">
        <f t="shared" si="84"/>
        <v>0</v>
      </c>
      <c r="O192" s="26" t="s">
        <v>12</v>
      </c>
      <c r="P192" s="5" t="s">
        <v>11</v>
      </c>
      <c r="Q192" s="46">
        <f t="shared" si="85"/>
        <v>0</v>
      </c>
    </row>
    <row r="193" spans="2:17" ht="16">
      <c r="B193" s="26" t="s">
        <v>14</v>
      </c>
      <c r="C193" s="5" t="s">
        <v>15</v>
      </c>
      <c r="D193" s="26">
        <v>0</v>
      </c>
      <c r="E193" s="7">
        <f t="shared" si="83"/>
        <v>30</v>
      </c>
      <c r="F193" s="46">
        <f t="shared" si="84"/>
        <v>0</v>
      </c>
      <c r="O193" s="26" t="s">
        <v>14</v>
      </c>
      <c r="P193" s="5" t="s">
        <v>15</v>
      </c>
      <c r="Q193" s="46">
        <f t="shared" si="85"/>
        <v>0</v>
      </c>
    </row>
    <row r="194" spans="2:17" ht="16">
      <c r="B194" s="26" t="s">
        <v>16</v>
      </c>
      <c r="C194" s="5" t="s">
        <v>11</v>
      </c>
      <c r="D194" s="26">
        <v>0</v>
      </c>
      <c r="E194" s="7">
        <f t="shared" si="83"/>
        <v>14</v>
      </c>
      <c r="F194" s="46">
        <f t="shared" si="84"/>
        <v>0</v>
      </c>
      <c r="O194" s="26" t="s">
        <v>16</v>
      </c>
      <c r="P194" s="5" t="s">
        <v>11</v>
      </c>
      <c r="Q194" s="46">
        <f t="shared" si="85"/>
        <v>0</v>
      </c>
    </row>
    <row r="195" spans="2:17" ht="16">
      <c r="B195" s="26" t="s">
        <v>18</v>
      </c>
      <c r="C195" s="5" t="s">
        <v>8</v>
      </c>
      <c r="D195" s="26">
        <v>1</v>
      </c>
      <c r="E195" s="7">
        <f t="shared" si="83"/>
        <v>17</v>
      </c>
      <c r="F195" s="46">
        <f t="shared" si="84"/>
        <v>5.8823529411764705E-2</v>
      </c>
      <c r="O195" s="26" t="s">
        <v>18</v>
      </c>
      <c r="P195" s="5" t="s">
        <v>8</v>
      </c>
      <c r="Q195" s="46">
        <f t="shared" si="85"/>
        <v>5.8823529411764705E-2</v>
      </c>
    </row>
    <row r="196" spans="2:17" ht="16">
      <c r="B196" s="26" t="s">
        <v>20</v>
      </c>
      <c r="C196" s="5" t="s">
        <v>8</v>
      </c>
      <c r="D196" s="26">
        <v>3</v>
      </c>
      <c r="E196" s="7">
        <f t="shared" si="83"/>
        <v>11</v>
      </c>
      <c r="F196" s="46">
        <f t="shared" si="84"/>
        <v>0.27272727272727271</v>
      </c>
      <c r="O196" s="26" t="s">
        <v>20</v>
      </c>
      <c r="P196" s="5" t="s">
        <v>8</v>
      </c>
      <c r="Q196" s="46">
        <f t="shared" si="85"/>
        <v>0.27272727272727271</v>
      </c>
    </row>
    <row r="197" spans="2:17" ht="16">
      <c r="B197" s="26" t="s">
        <v>217</v>
      </c>
      <c r="C197" s="5" t="s">
        <v>9</v>
      </c>
      <c r="D197" s="26">
        <v>0</v>
      </c>
      <c r="E197" s="7">
        <f t="shared" si="83"/>
        <v>19</v>
      </c>
      <c r="F197" s="46">
        <f t="shared" si="84"/>
        <v>0</v>
      </c>
      <c r="O197" s="26" t="s">
        <v>217</v>
      </c>
      <c r="P197" s="5" t="s">
        <v>9</v>
      </c>
      <c r="Q197" s="46">
        <f t="shared" si="85"/>
        <v>0</v>
      </c>
    </row>
    <row r="198" spans="2:17" ht="16">
      <c r="B198" s="26" t="s">
        <v>21</v>
      </c>
      <c r="C198" s="5" t="s">
        <v>11</v>
      </c>
      <c r="D198" s="26">
        <v>0</v>
      </c>
      <c r="E198" s="7">
        <f t="shared" si="83"/>
        <v>14</v>
      </c>
      <c r="F198" s="46">
        <f t="shared" si="84"/>
        <v>0</v>
      </c>
      <c r="O198" s="26" t="s">
        <v>21</v>
      </c>
      <c r="P198" s="5" t="s">
        <v>11</v>
      </c>
      <c r="Q198" s="46">
        <f t="shared" si="85"/>
        <v>0</v>
      </c>
    </row>
    <row r="199" spans="2:17" ht="16">
      <c r="B199" s="26" t="s">
        <v>22</v>
      </c>
      <c r="C199" s="5" t="s">
        <v>9</v>
      </c>
      <c r="D199" s="26">
        <v>0</v>
      </c>
      <c r="E199" s="7">
        <f t="shared" si="83"/>
        <v>16</v>
      </c>
      <c r="F199" s="46">
        <f t="shared" si="84"/>
        <v>0</v>
      </c>
      <c r="O199" s="26" t="s">
        <v>22</v>
      </c>
      <c r="P199" s="5" t="s">
        <v>9</v>
      </c>
      <c r="Q199" s="46">
        <f t="shared" si="85"/>
        <v>0</v>
      </c>
    </row>
    <row r="200" spans="2:17" ht="16">
      <c r="B200" s="26" t="s">
        <v>23</v>
      </c>
      <c r="C200" s="5" t="s">
        <v>9</v>
      </c>
      <c r="D200" s="26">
        <v>3</v>
      </c>
      <c r="E200" s="7">
        <f t="shared" si="83"/>
        <v>24</v>
      </c>
      <c r="F200" s="46">
        <f t="shared" si="84"/>
        <v>0.125</v>
      </c>
      <c r="O200" s="26" t="s">
        <v>23</v>
      </c>
      <c r="P200" s="5" t="s">
        <v>9</v>
      </c>
      <c r="Q200" s="46">
        <f t="shared" si="85"/>
        <v>0.125</v>
      </c>
    </row>
    <row r="201" spans="2:17">
      <c r="B201" s="47" t="s">
        <v>128</v>
      </c>
      <c r="D201" s="45">
        <f>SUM(D190:D200)</f>
        <v>10</v>
      </c>
      <c r="E201" s="45">
        <f>SUM(E190:E200)</f>
        <v>172</v>
      </c>
      <c r="F201" s="48">
        <f>D201/E201</f>
        <v>5.8139534883720929E-2</v>
      </c>
      <c r="O201" s="47" t="s">
        <v>128</v>
      </c>
      <c r="Q201" s="48">
        <f>F201</f>
        <v>5.8139534883720929E-2</v>
      </c>
    </row>
    <row r="203" spans="2:17" ht="16">
      <c r="B203" s="44" t="s">
        <v>82</v>
      </c>
    </row>
    <row r="204" spans="2:17" ht="16">
      <c r="B204" s="45" t="s">
        <v>0</v>
      </c>
      <c r="C204" s="16" t="s">
        <v>1</v>
      </c>
      <c r="D204" s="44" t="s">
        <v>83</v>
      </c>
      <c r="E204" s="16" t="s">
        <v>136</v>
      </c>
      <c r="F204" s="16" t="s">
        <v>138</v>
      </c>
    </row>
    <row r="205" spans="2:17" ht="16">
      <c r="B205" s="26" t="s">
        <v>217</v>
      </c>
      <c r="C205" s="5" t="s">
        <v>9</v>
      </c>
      <c r="D205" s="26">
        <f>D197</f>
        <v>0</v>
      </c>
      <c r="E205" s="26">
        <f>E197</f>
        <v>19</v>
      </c>
      <c r="F205" s="46">
        <f t="shared" ref="F205:F207" si="86">D205/E205</f>
        <v>0</v>
      </c>
    </row>
    <row r="206" spans="2:17" ht="16">
      <c r="B206" s="7" t="s">
        <v>22</v>
      </c>
      <c r="C206" s="5" t="s">
        <v>9</v>
      </c>
      <c r="D206" s="26">
        <f>D199</f>
        <v>0</v>
      </c>
      <c r="E206" s="26">
        <f>E199</f>
        <v>16</v>
      </c>
      <c r="F206" s="46">
        <f t="shared" si="86"/>
        <v>0</v>
      </c>
    </row>
    <row r="207" spans="2:17" ht="16">
      <c r="B207" s="7" t="s">
        <v>23</v>
      </c>
      <c r="C207" s="5" t="s">
        <v>9</v>
      </c>
      <c r="D207" s="26">
        <f>D200</f>
        <v>3</v>
      </c>
      <c r="E207" s="26">
        <f>E200</f>
        <v>24</v>
      </c>
      <c r="F207" s="46">
        <f t="shared" si="86"/>
        <v>0.125</v>
      </c>
    </row>
    <row r="208" spans="2:17">
      <c r="B208" s="47" t="s">
        <v>128</v>
      </c>
      <c r="D208" s="45">
        <f>SUM(D205:D207)</f>
        <v>3</v>
      </c>
      <c r="E208" s="45">
        <f>SUM(E205:E207)</f>
        <v>59</v>
      </c>
      <c r="F208" s="48">
        <f>D208/E208</f>
        <v>5.0847457627118647E-2</v>
      </c>
    </row>
    <row r="210" spans="2:6" ht="16">
      <c r="B210" s="44" t="s">
        <v>82</v>
      </c>
    </row>
    <row r="211" spans="2:6" ht="16">
      <c r="B211" s="45" t="s">
        <v>0</v>
      </c>
      <c r="C211" s="16" t="s">
        <v>1</v>
      </c>
      <c r="D211" s="44" t="s">
        <v>83</v>
      </c>
      <c r="E211" s="16" t="s">
        <v>136</v>
      </c>
      <c r="F211" s="16" t="s">
        <v>138</v>
      </c>
    </row>
    <row r="212" spans="2:6" ht="16">
      <c r="B212" s="7" t="s">
        <v>7</v>
      </c>
      <c r="C212" s="5" t="s">
        <v>8</v>
      </c>
      <c r="D212" s="26">
        <f>D190</f>
        <v>0</v>
      </c>
      <c r="E212" s="26">
        <f>E190</f>
        <v>4</v>
      </c>
      <c r="F212" s="46">
        <f>D212/E212</f>
        <v>0</v>
      </c>
    </row>
    <row r="213" spans="2:6" ht="16">
      <c r="B213" s="7" t="s">
        <v>18</v>
      </c>
      <c r="C213" s="5" t="s">
        <v>8</v>
      </c>
      <c r="D213" s="26">
        <f>D195</f>
        <v>1</v>
      </c>
      <c r="E213" s="26">
        <f>E195</f>
        <v>17</v>
      </c>
      <c r="F213" s="46">
        <f t="shared" ref="F213:F214" si="87">D213/E213</f>
        <v>5.8823529411764705E-2</v>
      </c>
    </row>
    <row r="214" spans="2:6" ht="16">
      <c r="B214" s="7" t="s">
        <v>20</v>
      </c>
      <c r="C214" s="5" t="s">
        <v>8</v>
      </c>
      <c r="D214" s="26">
        <f>D196</f>
        <v>3</v>
      </c>
      <c r="E214" s="26">
        <f>E196</f>
        <v>11</v>
      </c>
      <c r="F214" s="46">
        <f t="shared" si="87"/>
        <v>0.27272727272727271</v>
      </c>
    </row>
    <row r="215" spans="2:6">
      <c r="B215" s="47" t="s">
        <v>128</v>
      </c>
      <c r="D215" s="45">
        <f>SUM(D212:D214)</f>
        <v>4</v>
      </c>
      <c r="E215" s="45">
        <f>SUM(E212:E214)</f>
        <v>32</v>
      </c>
      <c r="F215" s="48">
        <f>D215/E215</f>
        <v>0.125</v>
      </c>
    </row>
    <row r="217" spans="2:6" ht="16">
      <c r="B217" s="44" t="s">
        <v>82</v>
      </c>
    </row>
    <row r="218" spans="2:6" ht="16">
      <c r="B218" s="45" t="s">
        <v>0</v>
      </c>
      <c r="C218" s="16" t="s">
        <v>1</v>
      </c>
      <c r="D218" s="44" t="s">
        <v>83</v>
      </c>
      <c r="E218" s="16" t="s">
        <v>136</v>
      </c>
      <c r="F218" s="16" t="s">
        <v>138</v>
      </c>
    </row>
    <row r="219" spans="2:6" ht="16">
      <c r="B219" s="7" t="s">
        <v>10</v>
      </c>
      <c r="C219" s="5" t="s">
        <v>11</v>
      </c>
      <c r="D219" s="26">
        <f>D191</f>
        <v>3</v>
      </c>
      <c r="E219" s="26">
        <f>E191</f>
        <v>20</v>
      </c>
      <c r="F219" s="46">
        <f t="shared" ref="F219:F222" si="88">D219/E219</f>
        <v>0.15</v>
      </c>
    </row>
    <row r="220" spans="2:6" ht="16">
      <c r="B220" s="7" t="s">
        <v>12</v>
      </c>
      <c r="C220" s="5" t="s">
        <v>11</v>
      </c>
      <c r="D220" s="26">
        <f>D192</f>
        <v>0</v>
      </c>
      <c r="E220" s="26">
        <f>E192</f>
        <v>3</v>
      </c>
      <c r="F220" s="46">
        <f t="shared" si="88"/>
        <v>0</v>
      </c>
    </row>
    <row r="221" spans="2:6" ht="16">
      <c r="B221" s="7" t="s">
        <v>16</v>
      </c>
      <c r="C221" s="5" t="s">
        <v>11</v>
      </c>
      <c r="D221" s="26">
        <f>D194</f>
        <v>0</v>
      </c>
      <c r="E221" s="26">
        <f>E194</f>
        <v>14</v>
      </c>
      <c r="F221" s="46">
        <f t="shared" si="88"/>
        <v>0</v>
      </c>
    </row>
    <row r="222" spans="2:6" ht="16">
      <c r="B222" s="7" t="s">
        <v>21</v>
      </c>
      <c r="C222" s="5" t="s">
        <v>11</v>
      </c>
      <c r="D222" s="26">
        <f>D198</f>
        <v>0</v>
      </c>
      <c r="E222" s="26">
        <f>E198</f>
        <v>14</v>
      </c>
      <c r="F222" s="46">
        <f t="shared" si="88"/>
        <v>0</v>
      </c>
    </row>
    <row r="223" spans="2:6">
      <c r="B223" s="47" t="s">
        <v>128</v>
      </c>
      <c r="D223" s="45">
        <f>SUM(D219:D222)</f>
        <v>3</v>
      </c>
      <c r="E223" s="45">
        <f>SUM(E219:E222)</f>
        <v>51</v>
      </c>
      <c r="F223" s="48">
        <f>D223/E223</f>
        <v>5.8823529411764705E-2</v>
      </c>
    </row>
    <row r="225" spans="2:21" ht="16">
      <c r="B225" s="44" t="s">
        <v>82</v>
      </c>
    </row>
    <row r="226" spans="2:21" ht="16">
      <c r="B226" s="45" t="s">
        <v>0</v>
      </c>
      <c r="C226" s="16" t="s">
        <v>1</v>
      </c>
      <c r="D226" s="44" t="s">
        <v>83</v>
      </c>
      <c r="E226" s="16" t="s">
        <v>136</v>
      </c>
      <c r="F226" s="16" t="s">
        <v>138</v>
      </c>
    </row>
    <row r="227" spans="2:21">
      <c r="B227" s="7" t="s">
        <v>14</v>
      </c>
      <c r="C227" s="7" t="s">
        <v>15</v>
      </c>
      <c r="D227" s="26">
        <f>D193</f>
        <v>0</v>
      </c>
      <c r="E227" s="26">
        <f>E193</f>
        <v>30</v>
      </c>
      <c r="F227" s="46">
        <f t="shared" ref="F227" si="89">D227/E227</f>
        <v>0</v>
      </c>
    </row>
    <row r="228" spans="2:21">
      <c r="B228" s="47" t="s">
        <v>128</v>
      </c>
      <c r="D228" s="45">
        <f>SUM(D227:D227)</f>
        <v>0</v>
      </c>
      <c r="E228" s="45">
        <f>SUM(E227:E227)</f>
        <v>30</v>
      </c>
      <c r="F228" s="48">
        <f>D228/E228</f>
        <v>0</v>
      </c>
    </row>
    <row r="230" spans="2:21" ht="16">
      <c r="B230" s="25" t="s">
        <v>1</v>
      </c>
      <c r="C230" s="39" t="s">
        <v>301</v>
      </c>
      <c r="D230" s="39" t="s">
        <v>136</v>
      </c>
      <c r="E230" s="39" t="s">
        <v>138</v>
      </c>
      <c r="O230" s="25" t="s">
        <v>1</v>
      </c>
      <c r="P230" s="39" t="s">
        <v>138</v>
      </c>
    </row>
    <row r="231" spans="2:21" ht="16">
      <c r="B231" s="4" t="s">
        <v>9</v>
      </c>
      <c r="C231" s="26">
        <f>D208</f>
        <v>3</v>
      </c>
      <c r="D231" s="26">
        <f>E208</f>
        <v>59</v>
      </c>
      <c r="E231" s="46">
        <f t="shared" ref="E231:E234" si="90">C231/D231</f>
        <v>5.0847457627118647E-2</v>
      </c>
      <c r="O231" s="4" t="s">
        <v>9</v>
      </c>
      <c r="P231" s="46">
        <f>E231</f>
        <v>5.0847457627118647E-2</v>
      </c>
    </row>
    <row r="232" spans="2:21" ht="16">
      <c r="B232" s="4" t="s">
        <v>8</v>
      </c>
      <c r="C232" s="26">
        <f>D215</f>
        <v>4</v>
      </c>
      <c r="D232" s="26">
        <f>E215</f>
        <v>32</v>
      </c>
      <c r="E232" s="46">
        <f t="shared" si="90"/>
        <v>0.125</v>
      </c>
      <c r="O232" s="4" t="s">
        <v>8</v>
      </c>
      <c r="P232" s="46">
        <f t="shared" ref="P232:P234" si="91">E232</f>
        <v>0.125</v>
      </c>
    </row>
    <row r="233" spans="2:21" ht="16">
      <c r="B233" s="4" t="s">
        <v>13</v>
      </c>
      <c r="C233" s="26">
        <f>D223</f>
        <v>3</v>
      </c>
      <c r="D233" s="26">
        <f>E223</f>
        <v>51</v>
      </c>
      <c r="E233" s="46">
        <f t="shared" si="90"/>
        <v>5.8823529411764705E-2</v>
      </c>
      <c r="O233" s="4" t="s">
        <v>13</v>
      </c>
      <c r="P233" s="46">
        <f t="shared" si="91"/>
        <v>5.8823529411764705E-2</v>
      </c>
    </row>
    <row r="234" spans="2:21">
      <c r="B234" s="7" t="s">
        <v>15</v>
      </c>
      <c r="C234" s="26">
        <f>D228</f>
        <v>0</v>
      </c>
      <c r="D234" s="26">
        <f>E228</f>
        <v>30</v>
      </c>
      <c r="E234" s="46">
        <f t="shared" si="90"/>
        <v>0</v>
      </c>
      <c r="O234" s="7" t="s">
        <v>15</v>
      </c>
      <c r="P234" s="46">
        <f t="shared" si="91"/>
        <v>0</v>
      </c>
    </row>
    <row r="235" spans="2:21">
      <c r="B235" s="25" t="s">
        <v>128</v>
      </c>
      <c r="C235" s="49">
        <f>SUM(C231:C234)</f>
        <v>10</v>
      </c>
      <c r="D235" s="49">
        <f>SUM(D231:D234)</f>
        <v>172</v>
      </c>
      <c r="E235" s="50">
        <f>C235/D235</f>
        <v>5.8139534883720929E-2</v>
      </c>
      <c r="O235" s="25" t="s">
        <v>128</v>
      </c>
      <c r="P235" s="50">
        <f>E235</f>
        <v>5.8139534883720929E-2</v>
      </c>
    </row>
    <row r="237" spans="2:21" ht="16">
      <c r="B237" s="16" t="s">
        <v>139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R237" s="16" t="s">
        <v>139</v>
      </c>
      <c r="S237" s="2"/>
    </row>
    <row r="238" spans="2:21" ht="48">
      <c r="B238" s="1" t="s">
        <v>0</v>
      </c>
      <c r="C238" s="1" t="s">
        <v>1</v>
      </c>
      <c r="D238" s="1" t="s">
        <v>2</v>
      </c>
      <c r="E238" s="1" t="s">
        <v>3</v>
      </c>
      <c r="F238" s="1" t="s">
        <v>4</v>
      </c>
      <c r="G238" s="1" t="s">
        <v>5</v>
      </c>
      <c r="H238" s="1" t="s">
        <v>140</v>
      </c>
      <c r="I238" s="1" t="s">
        <v>141</v>
      </c>
      <c r="J238" s="1" t="s">
        <v>142</v>
      </c>
      <c r="K238" s="1" t="s">
        <v>143</v>
      </c>
      <c r="R238" s="1" t="s">
        <v>0</v>
      </c>
      <c r="S238" s="1" t="s">
        <v>1</v>
      </c>
      <c r="T238" s="1" t="s">
        <v>142</v>
      </c>
      <c r="U238" s="1" t="s">
        <v>143</v>
      </c>
    </row>
    <row r="239" spans="2:21" ht="16">
      <c r="B239" s="26" t="s">
        <v>7</v>
      </c>
      <c r="C239" s="5" t="s">
        <v>8</v>
      </c>
      <c r="D239" s="6">
        <f>Capacity!D4</f>
        <v>70</v>
      </c>
      <c r="E239" s="6">
        <f>Capacity!E4</f>
        <v>0</v>
      </c>
      <c r="F239" s="6">
        <f>Capacity!F4</f>
        <v>1</v>
      </c>
      <c r="G239" s="6">
        <f>Capacity!G4</f>
        <v>63</v>
      </c>
      <c r="H239" s="7">
        <f t="shared" ref="H239:H249" si="92">C37</f>
        <v>26</v>
      </c>
      <c r="I239" s="7">
        <f t="shared" ref="I239:I249" si="93">D37</f>
        <v>63</v>
      </c>
      <c r="J239" s="52">
        <f t="shared" ref="J239" si="94">I239/G239</f>
        <v>1</v>
      </c>
      <c r="K239" s="52">
        <f t="shared" ref="K239:K250" si="95">I239/H239</f>
        <v>2.4230769230769229</v>
      </c>
      <c r="R239" s="26" t="s">
        <v>7</v>
      </c>
      <c r="S239" s="5" t="s">
        <v>8</v>
      </c>
      <c r="T239" s="52">
        <f t="shared" ref="T239:T250" si="96">J239</f>
        <v>1</v>
      </c>
      <c r="U239" s="52">
        <f t="shared" ref="U239:U250" si="97">K239</f>
        <v>2.4230769230769229</v>
      </c>
    </row>
    <row r="240" spans="2:21" ht="16">
      <c r="B240" s="26" t="s">
        <v>10</v>
      </c>
      <c r="C240" s="5" t="s">
        <v>11</v>
      </c>
      <c r="D240" s="6">
        <f>Capacity!D5</f>
        <v>70</v>
      </c>
      <c r="E240" s="6">
        <f>Capacity!E5</f>
        <v>0</v>
      </c>
      <c r="F240" s="6">
        <f>Capacity!F5</f>
        <v>1</v>
      </c>
      <c r="G240" s="6">
        <f>Capacity!G5</f>
        <v>63</v>
      </c>
      <c r="H240" s="7">
        <f t="shared" si="92"/>
        <v>56.5</v>
      </c>
      <c r="I240" s="7">
        <f t="shared" si="93"/>
        <v>90</v>
      </c>
      <c r="J240" s="52">
        <f t="shared" ref="J240:J250" si="98">I240/G240</f>
        <v>1.4285714285714286</v>
      </c>
      <c r="K240" s="52">
        <f t="shared" si="95"/>
        <v>1.5929203539823009</v>
      </c>
      <c r="R240" s="26" t="s">
        <v>10</v>
      </c>
      <c r="S240" s="5" t="s">
        <v>11</v>
      </c>
      <c r="T240" s="52">
        <f t="shared" si="96"/>
        <v>1.4285714285714286</v>
      </c>
      <c r="U240" s="52">
        <f t="shared" si="97"/>
        <v>1.5929203539823009</v>
      </c>
    </row>
    <row r="241" spans="2:21" ht="16">
      <c r="B241" s="26" t="s">
        <v>12</v>
      </c>
      <c r="C241" s="5" t="s">
        <v>11</v>
      </c>
      <c r="D241" s="6">
        <f>Capacity!D6</f>
        <v>40</v>
      </c>
      <c r="E241" s="6">
        <f>Capacity!E6</f>
        <v>0</v>
      </c>
      <c r="F241" s="6">
        <f>Capacity!F6</f>
        <v>1</v>
      </c>
      <c r="G241" s="6">
        <f>Capacity!G6</f>
        <v>36</v>
      </c>
      <c r="H241" s="7">
        <f t="shared" si="92"/>
        <v>12</v>
      </c>
      <c r="I241" s="7">
        <f t="shared" si="93"/>
        <v>14</v>
      </c>
      <c r="J241" s="52">
        <f t="shared" si="98"/>
        <v>0.3888888888888889</v>
      </c>
      <c r="K241" s="52">
        <f t="shared" si="95"/>
        <v>1.1666666666666667</v>
      </c>
      <c r="R241" s="26" t="s">
        <v>12</v>
      </c>
      <c r="S241" s="5" t="s">
        <v>11</v>
      </c>
      <c r="T241" s="52">
        <f t="shared" si="96"/>
        <v>0.3888888888888889</v>
      </c>
      <c r="U241" s="52">
        <f t="shared" si="97"/>
        <v>1.1666666666666667</v>
      </c>
    </row>
    <row r="242" spans="2:21" ht="16">
      <c r="B242" s="26" t="s">
        <v>14</v>
      </c>
      <c r="C242" s="5" t="s">
        <v>15</v>
      </c>
      <c r="D242" s="6">
        <f>Capacity!D7</f>
        <v>70</v>
      </c>
      <c r="E242" s="6">
        <f>Capacity!E7</f>
        <v>0</v>
      </c>
      <c r="F242" s="6">
        <f>Capacity!F7</f>
        <v>0</v>
      </c>
      <c r="G242" s="6">
        <f>Capacity!G7</f>
        <v>70</v>
      </c>
      <c r="H242" s="7">
        <f t="shared" si="92"/>
        <v>97</v>
      </c>
      <c r="I242" s="7">
        <f t="shared" si="93"/>
        <v>99.5</v>
      </c>
      <c r="J242" s="52">
        <f t="shared" si="98"/>
        <v>1.4214285714285715</v>
      </c>
      <c r="K242" s="52">
        <f t="shared" si="95"/>
        <v>1.0257731958762886</v>
      </c>
      <c r="R242" s="26" t="s">
        <v>14</v>
      </c>
      <c r="S242" s="5" t="s">
        <v>15</v>
      </c>
      <c r="T242" s="52">
        <f t="shared" si="96"/>
        <v>1.4214285714285715</v>
      </c>
      <c r="U242" s="52">
        <f t="shared" si="97"/>
        <v>1.0257731958762886</v>
      </c>
    </row>
    <row r="243" spans="2:21" ht="16">
      <c r="B243" s="26" t="s">
        <v>16</v>
      </c>
      <c r="C243" s="5" t="s">
        <v>11</v>
      </c>
      <c r="D243" s="6">
        <f>Capacity!D8</f>
        <v>70</v>
      </c>
      <c r="E243" s="6">
        <f>Capacity!E8</f>
        <v>0</v>
      </c>
      <c r="F243" s="6">
        <f>Capacity!F8</f>
        <v>0</v>
      </c>
      <c r="G243" s="6">
        <f>Capacity!G8</f>
        <v>70</v>
      </c>
      <c r="H243" s="7">
        <f t="shared" si="92"/>
        <v>48</v>
      </c>
      <c r="I243" s="7">
        <f t="shared" si="93"/>
        <v>77</v>
      </c>
      <c r="J243" s="52">
        <f t="shared" si="98"/>
        <v>1.1000000000000001</v>
      </c>
      <c r="K243" s="52">
        <f t="shared" si="95"/>
        <v>1.6041666666666667</v>
      </c>
      <c r="R243" s="26" t="s">
        <v>16</v>
      </c>
      <c r="S243" s="5" t="s">
        <v>11</v>
      </c>
      <c r="T243" s="52">
        <f t="shared" si="96"/>
        <v>1.1000000000000001</v>
      </c>
      <c r="U243" s="52">
        <f t="shared" si="97"/>
        <v>1.6041666666666667</v>
      </c>
    </row>
    <row r="244" spans="2:21" ht="16">
      <c r="B244" s="26" t="s">
        <v>18</v>
      </c>
      <c r="C244" s="5" t="s">
        <v>8</v>
      </c>
      <c r="D244" s="6">
        <f>Capacity!D9</f>
        <v>70</v>
      </c>
      <c r="E244" s="6">
        <f>Capacity!E9</f>
        <v>0</v>
      </c>
      <c r="F244" s="6">
        <f>Capacity!F9</f>
        <v>2</v>
      </c>
      <c r="G244" s="6">
        <f>Capacity!G9</f>
        <v>56</v>
      </c>
      <c r="H244" s="7">
        <f t="shared" si="92"/>
        <v>94</v>
      </c>
      <c r="I244" s="7">
        <f t="shared" si="93"/>
        <v>104</v>
      </c>
      <c r="J244" s="52">
        <f t="shared" si="98"/>
        <v>1.8571428571428572</v>
      </c>
      <c r="K244" s="52">
        <f t="shared" si="95"/>
        <v>1.1063829787234043</v>
      </c>
      <c r="R244" s="26" t="s">
        <v>18</v>
      </c>
      <c r="S244" s="5" t="s">
        <v>8</v>
      </c>
      <c r="T244" s="52">
        <f t="shared" si="96"/>
        <v>1.8571428571428572</v>
      </c>
      <c r="U244" s="52">
        <f t="shared" si="97"/>
        <v>1.1063829787234043</v>
      </c>
    </row>
    <row r="245" spans="2:21" ht="16">
      <c r="B245" s="26" t="s">
        <v>20</v>
      </c>
      <c r="C245" s="5" t="s">
        <v>8</v>
      </c>
      <c r="D245" s="6">
        <f>Capacity!D10</f>
        <v>70</v>
      </c>
      <c r="E245" s="6">
        <f>Capacity!E10</f>
        <v>0</v>
      </c>
      <c r="F245" s="6">
        <f>Capacity!F10</f>
        <v>0</v>
      </c>
      <c r="G245" s="6">
        <f>Capacity!G10</f>
        <v>70</v>
      </c>
      <c r="H245" s="7">
        <f t="shared" si="92"/>
        <v>64</v>
      </c>
      <c r="I245" s="7">
        <f t="shared" si="93"/>
        <v>85</v>
      </c>
      <c r="J245" s="52">
        <f t="shared" si="98"/>
        <v>1.2142857142857142</v>
      </c>
      <c r="K245" s="52">
        <f t="shared" si="95"/>
        <v>1.328125</v>
      </c>
      <c r="R245" s="26" t="s">
        <v>20</v>
      </c>
      <c r="S245" s="5" t="s">
        <v>8</v>
      </c>
      <c r="T245" s="52">
        <f t="shared" si="96"/>
        <v>1.2142857142857142</v>
      </c>
      <c r="U245" s="52">
        <f t="shared" si="97"/>
        <v>1.328125</v>
      </c>
    </row>
    <row r="246" spans="2:21" ht="16">
      <c r="B246" s="26" t="s">
        <v>217</v>
      </c>
      <c r="C246" s="5" t="s">
        <v>9</v>
      </c>
      <c r="D246" s="6">
        <f>Capacity!D11</f>
        <v>70</v>
      </c>
      <c r="E246" s="6">
        <f>Capacity!E11</f>
        <v>0</v>
      </c>
      <c r="F246" s="6">
        <f>Capacity!F11</f>
        <v>0</v>
      </c>
      <c r="G246" s="6">
        <f>Capacity!G11</f>
        <v>70</v>
      </c>
      <c r="H246" s="7">
        <f t="shared" si="92"/>
        <v>64</v>
      </c>
      <c r="I246" s="7">
        <f t="shared" si="93"/>
        <v>111.83</v>
      </c>
      <c r="J246" s="52">
        <f t="shared" si="98"/>
        <v>1.5975714285714286</v>
      </c>
      <c r="K246" s="52">
        <f t="shared" si="95"/>
        <v>1.74734375</v>
      </c>
      <c r="R246" s="26" t="s">
        <v>217</v>
      </c>
      <c r="S246" s="5" t="s">
        <v>9</v>
      </c>
      <c r="T246" s="52">
        <f t="shared" si="96"/>
        <v>1.5975714285714286</v>
      </c>
      <c r="U246" s="52">
        <f t="shared" si="97"/>
        <v>1.74734375</v>
      </c>
    </row>
    <row r="247" spans="2:21" ht="16">
      <c r="B247" s="26" t="s">
        <v>21</v>
      </c>
      <c r="C247" s="5" t="s">
        <v>11</v>
      </c>
      <c r="D247" s="6">
        <f>Capacity!D12</f>
        <v>70</v>
      </c>
      <c r="E247" s="6">
        <f>Capacity!E12</f>
        <v>0</v>
      </c>
      <c r="F247" s="6">
        <f>Capacity!F12</f>
        <v>3</v>
      </c>
      <c r="G247" s="6">
        <f>Capacity!G12</f>
        <v>49</v>
      </c>
      <c r="H247" s="7">
        <f t="shared" si="92"/>
        <v>49</v>
      </c>
      <c r="I247" s="7">
        <f t="shared" si="93"/>
        <v>31</v>
      </c>
      <c r="J247" s="52">
        <f t="shared" si="98"/>
        <v>0.63265306122448983</v>
      </c>
      <c r="K247" s="52">
        <f t="shared" si="95"/>
        <v>0.63265306122448983</v>
      </c>
      <c r="R247" s="26" t="s">
        <v>21</v>
      </c>
      <c r="S247" s="5" t="s">
        <v>11</v>
      </c>
      <c r="T247" s="52">
        <f t="shared" si="96"/>
        <v>0.63265306122448983</v>
      </c>
      <c r="U247" s="52">
        <f t="shared" si="97"/>
        <v>0.63265306122448983</v>
      </c>
    </row>
    <row r="248" spans="2:21" ht="16">
      <c r="B248" s="26" t="s">
        <v>22</v>
      </c>
      <c r="C248" s="5" t="s">
        <v>9</v>
      </c>
      <c r="D248" s="6">
        <f>Capacity!D13</f>
        <v>70</v>
      </c>
      <c r="E248" s="6">
        <f>Capacity!E13</f>
        <v>0</v>
      </c>
      <c r="F248" s="6">
        <f>Capacity!F13</f>
        <v>0</v>
      </c>
      <c r="G248" s="6">
        <f>Capacity!G13</f>
        <v>70</v>
      </c>
      <c r="H248" s="7">
        <f t="shared" si="92"/>
        <v>89</v>
      </c>
      <c r="I248" s="7">
        <f t="shared" si="93"/>
        <v>109.92</v>
      </c>
      <c r="J248" s="52">
        <f t="shared" si="98"/>
        <v>1.5702857142857143</v>
      </c>
      <c r="K248" s="52">
        <f t="shared" si="95"/>
        <v>1.2350561797752808</v>
      </c>
      <c r="R248" s="26" t="s">
        <v>22</v>
      </c>
      <c r="S248" s="5" t="s">
        <v>9</v>
      </c>
      <c r="T248" s="52">
        <f t="shared" si="96"/>
        <v>1.5702857142857143</v>
      </c>
      <c r="U248" s="52">
        <f t="shared" si="97"/>
        <v>1.2350561797752808</v>
      </c>
    </row>
    <row r="249" spans="2:21" ht="16">
      <c r="B249" s="26" t="s">
        <v>23</v>
      </c>
      <c r="C249" s="5" t="s">
        <v>9</v>
      </c>
      <c r="D249" s="6">
        <f>Capacity!D14</f>
        <v>70</v>
      </c>
      <c r="E249" s="6">
        <f>Capacity!E14</f>
        <v>0</v>
      </c>
      <c r="F249" s="6">
        <f>Capacity!F14</f>
        <v>1</v>
      </c>
      <c r="G249" s="6">
        <f>Capacity!G14</f>
        <v>63</v>
      </c>
      <c r="H249" s="7">
        <f t="shared" si="92"/>
        <v>66.5</v>
      </c>
      <c r="I249" s="7">
        <f t="shared" si="93"/>
        <v>90.710000000000008</v>
      </c>
      <c r="J249" s="52">
        <f t="shared" ref="J249" si="99">I249/G249</f>
        <v>1.4398412698412699</v>
      </c>
      <c r="K249" s="52">
        <f t="shared" si="95"/>
        <v>1.36406015037594</v>
      </c>
      <c r="R249" s="26" t="s">
        <v>23</v>
      </c>
      <c r="S249" s="5" t="s">
        <v>9</v>
      </c>
      <c r="T249" s="52">
        <f t="shared" si="96"/>
        <v>1.4398412698412699</v>
      </c>
      <c r="U249" s="52">
        <f t="shared" si="97"/>
        <v>1.36406015037594</v>
      </c>
    </row>
    <row r="250" spans="2:21">
      <c r="B250" s="47" t="s">
        <v>128</v>
      </c>
      <c r="D250" s="51">
        <f t="shared" ref="D250:I250" si="100">SUM(D239:D249)</f>
        <v>740</v>
      </c>
      <c r="E250" s="51">
        <f t="shared" si="100"/>
        <v>0</v>
      </c>
      <c r="F250" s="51">
        <f t="shared" si="100"/>
        <v>9</v>
      </c>
      <c r="G250" s="51">
        <f t="shared" si="100"/>
        <v>680</v>
      </c>
      <c r="H250" s="51">
        <f t="shared" si="100"/>
        <v>666</v>
      </c>
      <c r="I250" s="51">
        <f t="shared" si="100"/>
        <v>875.96</v>
      </c>
      <c r="J250" s="30">
        <f t="shared" si="98"/>
        <v>1.2881764705882353</v>
      </c>
      <c r="K250" s="30">
        <f t="shared" si="95"/>
        <v>1.3152552552552552</v>
      </c>
      <c r="R250" s="47" t="s">
        <v>128</v>
      </c>
      <c r="T250" s="30">
        <f t="shared" si="96"/>
        <v>1.2881764705882353</v>
      </c>
      <c r="U250" s="30">
        <f t="shared" si="97"/>
        <v>1.3152552552552552</v>
      </c>
    </row>
    <row r="252" spans="2:21" ht="16">
      <c r="B252" s="16" t="s">
        <v>139</v>
      </c>
      <c r="C252" s="2"/>
      <c r="D252" s="2"/>
      <c r="E252" s="2"/>
      <c r="F252" s="2"/>
      <c r="G252" s="2"/>
      <c r="H252" s="2"/>
      <c r="I252" s="2"/>
      <c r="J252" s="2"/>
      <c r="K252" s="2"/>
    </row>
    <row r="253" spans="2:21" ht="48">
      <c r="B253" s="1" t="s">
        <v>0</v>
      </c>
      <c r="C253" s="1" t="s">
        <v>1</v>
      </c>
      <c r="D253" s="1" t="s">
        <v>2</v>
      </c>
      <c r="E253" s="1" t="s">
        <v>3</v>
      </c>
      <c r="F253" s="1" t="s">
        <v>4</v>
      </c>
      <c r="G253" s="1" t="s">
        <v>5</v>
      </c>
      <c r="H253" s="1" t="s">
        <v>140</v>
      </c>
      <c r="I253" s="1" t="s">
        <v>141</v>
      </c>
      <c r="J253" s="1" t="s">
        <v>142</v>
      </c>
      <c r="K253" s="1" t="s">
        <v>143</v>
      </c>
    </row>
    <row r="254" spans="2:21" ht="16">
      <c r="B254" s="26" t="s">
        <v>217</v>
      </c>
      <c r="C254" s="5" t="s">
        <v>9</v>
      </c>
      <c r="D254" s="6">
        <f t="shared" ref="D254:I254" si="101">D246</f>
        <v>70</v>
      </c>
      <c r="E254" s="6">
        <f t="shared" si="101"/>
        <v>0</v>
      </c>
      <c r="F254" s="6">
        <f t="shared" si="101"/>
        <v>0</v>
      </c>
      <c r="G254" s="6">
        <f t="shared" si="101"/>
        <v>70</v>
      </c>
      <c r="H254" s="6">
        <f t="shared" si="101"/>
        <v>64</v>
      </c>
      <c r="I254" s="6">
        <f t="shared" si="101"/>
        <v>111.83</v>
      </c>
      <c r="J254" s="52">
        <f t="shared" ref="J254:J257" si="102">I254/G254</f>
        <v>1.5975714285714286</v>
      </c>
      <c r="K254" s="52">
        <f>I254/H254</f>
        <v>1.74734375</v>
      </c>
    </row>
    <row r="255" spans="2:21" ht="16">
      <c r="B255" s="4" t="s">
        <v>22</v>
      </c>
      <c r="C255" s="5" t="s">
        <v>9</v>
      </c>
      <c r="D255" s="6">
        <f>D248</f>
        <v>70</v>
      </c>
      <c r="E255" s="6">
        <f t="shared" ref="E255:H255" si="103">E248</f>
        <v>0</v>
      </c>
      <c r="F255" s="6">
        <f t="shared" si="103"/>
        <v>0</v>
      </c>
      <c r="G255" s="6">
        <f t="shared" si="103"/>
        <v>70</v>
      </c>
      <c r="H255" s="6">
        <f t="shared" si="103"/>
        <v>89</v>
      </c>
      <c r="I255" s="6">
        <f t="shared" ref="I255" si="104">I248</f>
        <v>109.92</v>
      </c>
      <c r="J255" s="52">
        <f t="shared" si="102"/>
        <v>1.5702857142857143</v>
      </c>
      <c r="K255" s="52">
        <f>I255/H255</f>
        <v>1.2350561797752808</v>
      </c>
    </row>
    <row r="256" spans="2:21" ht="16">
      <c r="B256" s="4" t="s">
        <v>23</v>
      </c>
      <c r="C256" s="5" t="s">
        <v>9</v>
      </c>
      <c r="D256" s="6">
        <f>D249</f>
        <v>70</v>
      </c>
      <c r="E256" s="6">
        <f t="shared" ref="E256:H256" si="105">E249</f>
        <v>0</v>
      </c>
      <c r="F256" s="6">
        <f t="shared" si="105"/>
        <v>1</v>
      </c>
      <c r="G256" s="6">
        <f t="shared" si="105"/>
        <v>63</v>
      </c>
      <c r="H256" s="6">
        <f t="shared" si="105"/>
        <v>66.5</v>
      </c>
      <c r="I256" s="6">
        <f t="shared" ref="I256" si="106">I249</f>
        <v>90.710000000000008</v>
      </c>
      <c r="J256" s="52">
        <f t="shared" ref="J256" si="107">I256/G256</f>
        <v>1.4398412698412699</v>
      </c>
      <c r="K256" s="52">
        <f>I256/H256</f>
        <v>1.36406015037594</v>
      </c>
    </row>
    <row r="257" spans="2:11">
      <c r="B257" s="47" t="s">
        <v>128</v>
      </c>
      <c r="D257" s="51">
        <f>SUM(D254:D256)</f>
        <v>210</v>
      </c>
      <c r="E257" s="51">
        <f t="shared" ref="E257:I257" si="108">SUM(E254:E256)</f>
        <v>0</v>
      </c>
      <c r="F257" s="51">
        <f t="shared" si="108"/>
        <v>1</v>
      </c>
      <c r="G257" s="51">
        <f>SUM(G254:G256)</f>
        <v>203</v>
      </c>
      <c r="H257" s="51">
        <f>SUM(H254:H256)</f>
        <v>219.5</v>
      </c>
      <c r="I257" s="51">
        <f t="shared" si="108"/>
        <v>312.46000000000004</v>
      </c>
      <c r="J257" s="30">
        <f t="shared" si="102"/>
        <v>1.5392118226600986</v>
      </c>
      <c r="K257" s="30">
        <f>I257/H257</f>
        <v>1.4235079726651483</v>
      </c>
    </row>
    <row r="259" spans="2:11" ht="16">
      <c r="B259" s="16" t="s">
        <v>139</v>
      </c>
      <c r="C259" s="2"/>
      <c r="D259" s="2"/>
      <c r="E259" s="2"/>
      <c r="F259" s="2"/>
      <c r="G259" s="2"/>
      <c r="H259" s="2"/>
      <c r="I259" s="2"/>
      <c r="J259" s="2"/>
      <c r="K259" s="2"/>
    </row>
    <row r="260" spans="2:11" ht="48">
      <c r="B260" s="1" t="s">
        <v>0</v>
      </c>
      <c r="C260" s="1" t="s">
        <v>1</v>
      </c>
      <c r="D260" s="1" t="s">
        <v>2</v>
      </c>
      <c r="E260" s="1" t="s">
        <v>3</v>
      </c>
      <c r="F260" s="1" t="s">
        <v>4</v>
      </c>
      <c r="G260" s="1" t="s">
        <v>5</v>
      </c>
      <c r="H260" s="1" t="s">
        <v>140</v>
      </c>
      <c r="I260" s="1" t="s">
        <v>141</v>
      </c>
      <c r="J260" s="1" t="s">
        <v>142</v>
      </c>
      <c r="K260" s="1" t="s">
        <v>143</v>
      </c>
    </row>
    <row r="261" spans="2:11" ht="16">
      <c r="B261" s="4" t="s">
        <v>7</v>
      </c>
      <c r="C261" s="5" t="s">
        <v>8</v>
      </c>
      <c r="D261" s="6">
        <f t="shared" ref="D261:I261" si="109">D239</f>
        <v>70</v>
      </c>
      <c r="E261" s="6">
        <f t="shared" si="109"/>
        <v>0</v>
      </c>
      <c r="F261" s="6">
        <f t="shared" si="109"/>
        <v>1</v>
      </c>
      <c r="G261" s="6">
        <f t="shared" si="109"/>
        <v>63</v>
      </c>
      <c r="H261" s="6">
        <f t="shared" si="109"/>
        <v>26</v>
      </c>
      <c r="I261" s="6">
        <f t="shared" si="109"/>
        <v>63</v>
      </c>
      <c r="J261" s="52">
        <f t="shared" ref="J261:J264" si="110">I261/G261</f>
        <v>1</v>
      </c>
      <c r="K261" s="52">
        <f>I261/H261</f>
        <v>2.4230769230769229</v>
      </c>
    </row>
    <row r="262" spans="2:11" ht="16">
      <c r="B262" s="4" t="s">
        <v>18</v>
      </c>
      <c r="C262" s="5" t="s">
        <v>8</v>
      </c>
      <c r="D262" s="6">
        <f t="shared" ref="D262:I263" si="111">D244</f>
        <v>70</v>
      </c>
      <c r="E262" s="6">
        <f t="shared" si="111"/>
        <v>0</v>
      </c>
      <c r="F262" s="6">
        <f t="shared" si="111"/>
        <v>2</v>
      </c>
      <c r="G262" s="6">
        <f t="shared" si="111"/>
        <v>56</v>
      </c>
      <c r="H262" s="6">
        <f t="shared" si="111"/>
        <v>94</v>
      </c>
      <c r="I262" s="6">
        <f t="shared" si="111"/>
        <v>104</v>
      </c>
      <c r="J262" s="52">
        <f t="shared" si="110"/>
        <v>1.8571428571428572</v>
      </c>
      <c r="K262" s="52">
        <f>I262/H262</f>
        <v>1.1063829787234043</v>
      </c>
    </row>
    <row r="263" spans="2:11" ht="16">
      <c r="B263" s="4" t="s">
        <v>20</v>
      </c>
      <c r="C263" s="5" t="s">
        <v>8</v>
      </c>
      <c r="D263" s="6">
        <f t="shared" si="111"/>
        <v>70</v>
      </c>
      <c r="E263" s="6">
        <f t="shared" si="111"/>
        <v>0</v>
      </c>
      <c r="F263" s="6">
        <f t="shared" si="111"/>
        <v>0</v>
      </c>
      <c r="G263" s="6">
        <f t="shared" si="111"/>
        <v>70</v>
      </c>
      <c r="H263" s="6">
        <f t="shared" si="111"/>
        <v>64</v>
      </c>
      <c r="I263" s="6">
        <f t="shared" si="111"/>
        <v>85</v>
      </c>
      <c r="J263" s="52">
        <f t="shared" si="110"/>
        <v>1.2142857142857142</v>
      </c>
      <c r="K263" s="52">
        <f>I263/H263</f>
        <v>1.328125</v>
      </c>
    </row>
    <row r="264" spans="2:11">
      <c r="B264" s="47" t="s">
        <v>128</v>
      </c>
      <c r="D264" s="51">
        <f t="shared" ref="D264:I264" si="112">SUM(D261:D263)</f>
        <v>210</v>
      </c>
      <c r="E264" s="51">
        <f t="shared" si="112"/>
        <v>0</v>
      </c>
      <c r="F264" s="51">
        <f t="shared" si="112"/>
        <v>3</v>
      </c>
      <c r="G264" s="51">
        <f t="shared" si="112"/>
        <v>189</v>
      </c>
      <c r="H264" s="51">
        <f t="shared" si="112"/>
        <v>184</v>
      </c>
      <c r="I264" s="51">
        <f t="shared" si="112"/>
        <v>252</v>
      </c>
      <c r="J264" s="30">
        <f t="shared" si="110"/>
        <v>1.3333333333333333</v>
      </c>
      <c r="K264" s="30">
        <f>I264/H264</f>
        <v>1.3695652173913044</v>
      </c>
    </row>
    <row r="266" spans="2:11" ht="16">
      <c r="B266" s="16" t="s">
        <v>139</v>
      </c>
      <c r="C266" s="2"/>
      <c r="D266" s="2"/>
      <c r="E266" s="2"/>
      <c r="F266" s="2"/>
      <c r="G266" s="2"/>
      <c r="H266" s="2"/>
      <c r="I266" s="2"/>
      <c r="J266" s="2"/>
      <c r="K266" s="2"/>
    </row>
    <row r="267" spans="2:11" ht="48">
      <c r="B267" s="1" t="s">
        <v>0</v>
      </c>
      <c r="C267" s="1" t="s">
        <v>1</v>
      </c>
      <c r="D267" s="1" t="s">
        <v>2</v>
      </c>
      <c r="E267" s="1" t="s">
        <v>3</v>
      </c>
      <c r="F267" s="1" t="s">
        <v>4</v>
      </c>
      <c r="G267" s="1" t="s">
        <v>5</v>
      </c>
      <c r="H267" s="1" t="s">
        <v>140</v>
      </c>
      <c r="I267" s="1" t="s">
        <v>141</v>
      </c>
      <c r="J267" s="1" t="s">
        <v>142</v>
      </c>
      <c r="K267" s="1" t="s">
        <v>143</v>
      </c>
    </row>
    <row r="268" spans="2:11" ht="16">
      <c r="B268" s="4" t="s">
        <v>10</v>
      </c>
      <c r="C268" s="5" t="s">
        <v>11</v>
      </c>
      <c r="D268" s="6">
        <f t="shared" ref="D268:I269" si="113">D240</f>
        <v>70</v>
      </c>
      <c r="E268" s="6">
        <f t="shared" si="113"/>
        <v>0</v>
      </c>
      <c r="F268" s="6">
        <f t="shared" si="113"/>
        <v>1</v>
      </c>
      <c r="G268" s="6">
        <f t="shared" si="113"/>
        <v>63</v>
      </c>
      <c r="H268" s="6">
        <f t="shared" si="113"/>
        <v>56.5</v>
      </c>
      <c r="I268" s="6">
        <f t="shared" si="113"/>
        <v>90</v>
      </c>
      <c r="J268" s="52">
        <f t="shared" ref="J268:J271" si="114">I268/G268</f>
        <v>1.4285714285714286</v>
      </c>
      <c r="K268" s="52">
        <f>I268/H268</f>
        <v>1.5929203539823009</v>
      </c>
    </row>
    <row r="269" spans="2:11" ht="16">
      <c r="B269" s="4" t="s">
        <v>12</v>
      </c>
      <c r="C269" s="5" t="s">
        <v>11</v>
      </c>
      <c r="D269" s="6">
        <f t="shared" si="113"/>
        <v>40</v>
      </c>
      <c r="E269" s="6">
        <f t="shared" si="113"/>
        <v>0</v>
      </c>
      <c r="F269" s="6">
        <f t="shared" si="113"/>
        <v>1</v>
      </c>
      <c r="G269" s="6">
        <f t="shared" si="113"/>
        <v>36</v>
      </c>
      <c r="H269" s="6">
        <f t="shared" si="113"/>
        <v>12</v>
      </c>
      <c r="I269" s="6">
        <f t="shared" si="113"/>
        <v>14</v>
      </c>
      <c r="J269" s="52">
        <f t="shared" si="114"/>
        <v>0.3888888888888889</v>
      </c>
      <c r="K269" s="52">
        <f>I269/H269</f>
        <v>1.1666666666666667</v>
      </c>
    </row>
    <row r="270" spans="2:11" ht="16">
      <c r="B270" s="4" t="s">
        <v>21</v>
      </c>
      <c r="C270" s="5" t="s">
        <v>11</v>
      </c>
      <c r="D270" s="6">
        <f t="shared" ref="D270:I270" si="115">D247</f>
        <v>70</v>
      </c>
      <c r="E270" s="6">
        <f t="shared" si="115"/>
        <v>0</v>
      </c>
      <c r="F270" s="6">
        <f t="shared" si="115"/>
        <v>3</v>
      </c>
      <c r="G270" s="6">
        <f t="shared" si="115"/>
        <v>49</v>
      </c>
      <c r="H270" s="6">
        <f t="shared" si="115"/>
        <v>49</v>
      </c>
      <c r="I270" s="6">
        <f t="shared" si="115"/>
        <v>31</v>
      </c>
      <c r="J270" s="52">
        <f t="shared" si="114"/>
        <v>0.63265306122448983</v>
      </c>
      <c r="K270" s="52">
        <f>I270/H270</f>
        <v>0.63265306122448983</v>
      </c>
    </row>
    <row r="271" spans="2:11">
      <c r="B271" s="47" t="s">
        <v>128</v>
      </c>
      <c r="D271" s="51">
        <f t="shared" ref="D271:I271" si="116">SUM(D268:D270)</f>
        <v>180</v>
      </c>
      <c r="E271" s="51">
        <f t="shared" si="116"/>
        <v>0</v>
      </c>
      <c r="F271" s="51">
        <f t="shared" si="116"/>
        <v>5</v>
      </c>
      <c r="G271" s="51">
        <f t="shared" si="116"/>
        <v>148</v>
      </c>
      <c r="H271" s="51">
        <f t="shared" si="116"/>
        <v>117.5</v>
      </c>
      <c r="I271" s="51">
        <f t="shared" si="116"/>
        <v>135</v>
      </c>
      <c r="J271" s="30">
        <f t="shared" si="114"/>
        <v>0.91216216216216217</v>
      </c>
      <c r="K271" s="30">
        <f>I271/H271</f>
        <v>1.1489361702127661</v>
      </c>
    </row>
    <row r="273" spans="2:11" ht="16">
      <c r="B273" s="16" t="s">
        <v>139</v>
      </c>
      <c r="C273" s="2"/>
      <c r="D273" s="2"/>
      <c r="E273" s="2"/>
      <c r="F273" s="2"/>
      <c r="G273" s="2"/>
      <c r="H273" s="2"/>
      <c r="I273" s="2"/>
      <c r="J273" s="2"/>
      <c r="K273" s="2"/>
    </row>
    <row r="274" spans="2:11" ht="48">
      <c r="B274" s="1" t="s">
        <v>0</v>
      </c>
      <c r="C274" s="1" t="s">
        <v>1</v>
      </c>
      <c r="D274" s="1" t="s">
        <v>2</v>
      </c>
      <c r="E274" s="1" t="s">
        <v>3</v>
      </c>
      <c r="F274" s="1" t="s">
        <v>4</v>
      </c>
      <c r="G274" s="1" t="s">
        <v>5</v>
      </c>
      <c r="H274" s="1" t="s">
        <v>140</v>
      </c>
      <c r="I274" s="1" t="s">
        <v>141</v>
      </c>
      <c r="J274" s="1" t="s">
        <v>142</v>
      </c>
      <c r="K274" s="1" t="s">
        <v>143</v>
      </c>
    </row>
    <row r="275" spans="2:11" ht="16">
      <c r="B275" s="7" t="s">
        <v>14</v>
      </c>
      <c r="C275" s="5" t="s">
        <v>15</v>
      </c>
      <c r="D275" s="6">
        <f t="shared" ref="D275:I275" si="117">D242</f>
        <v>70</v>
      </c>
      <c r="E275" s="6">
        <f t="shared" si="117"/>
        <v>0</v>
      </c>
      <c r="F275" s="6">
        <f t="shared" si="117"/>
        <v>0</v>
      </c>
      <c r="G275" s="6">
        <f t="shared" si="117"/>
        <v>70</v>
      </c>
      <c r="H275" s="6">
        <f t="shared" si="117"/>
        <v>97</v>
      </c>
      <c r="I275" s="6">
        <f t="shared" si="117"/>
        <v>99.5</v>
      </c>
      <c r="J275" s="52">
        <f t="shared" ref="J275:J276" si="118">I275/G275</f>
        <v>1.4214285714285715</v>
      </c>
      <c r="K275" s="52">
        <f>I275/H275</f>
        <v>1.0257731958762886</v>
      </c>
    </row>
    <row r="276" spans="2:11">
      <c r="B276" s="47" t="s">
        <v>128</v>
      </c>
      <c r="D276" s="51">
        <f t="shared" ref="D276:I276" si="119">SUM(D275:D275)</f>
        <v>70</v>
      </c>
      <c r="E276" s="51">
        <f t="shared" si="119"/>
        <v>0</v>
      </c>
      <c r="F276" s="51">
        <f t="shared" si="119"/>
        <v>0</v>
      </c>
      <c r="G276" s="51">
        <f t="shared" si="119"/>
        <v>70</v>
      </c>
      <c r="H276" s="51">
        <f t="shared" si="119"/>
        <v>97</v>
      </c>
      <c r="I276" s="51">
        <f t="shared" si="119"/>
        <v>99.5</v>
      </c>
      <c r="J276" s="30">
        <f t="shared" si="118"/>
        <v>1.4214285714285715</v>
      </c>
      <c r="K276" s="30">
        <f>I276/H276</f>
        <v>1.0257731958762886</v>
      </c>
    </row>
  </sheetData>
  <conditionalFormatting sqref="B255:B256">
    <cfRule type="duplicateValues" dxfId="4" priority="15"/>
  </conditionalFormatting>
  <conditionalFormatting sqref="B261:B263">
    <cfRule type="duplicateValues" dxfId="3" priority="9"/>
  </conditionalFormatting>
  <conditionalFormatting sqref="B268:B270">
    <cfRule type="duplicateValues" dxfId="2" priority="16"/>
  </conditionalFormatting>
  <conditionalFormatting sqref="B275">
    <cfRule type="duplicateValues" dxfId="1" priority="14"/>
  </conditionalFormatting>
  <pageMargins left="0.7" right="0.7" top="0.75" bottom="0.75" header="0.3" footer="0.3"/>
  <ignoredErrors>
    <ignoredError sqref="F62 F68 F74 F81 F85 F92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5A74-8A5D-314F-B6A1-BCA600BEC776}">
  <dimension ref="B2:O8"/>
  <sheetViews>
    <sheetView zoomScaleNormal="100" workbookViewId="0">
      <selection activeCell="F28" sqref="F28"/>
    </sheetView>
  </sheetViews>
  <sheetFormatPr baseColWidth="10" defaultColWidth="25" defaultRowHeight="14"/>
  <cols>
    <col min="1" max="1" width="6.6640625" style="60" customWidth="1"/>
    <col min="2" max="2" width="29.83203125" style="60" bestFit="1" customWidth="1"/>
    <col min="3" max="3" width="25.33203125" style="60" bestFit="1" customWidth="1"/>
    <col min="4" max="4" width="24.33203125" style="60" bestFit="1" customWidth="1"/>
    <col min="5" max="5" width="11.6640625" style="60" bestFit="1" customWidth="1"/>
    <col min="6" max="6" width="12" style="60" bestFit="1" customWidth="1"/>
    <col min="7" max="7" width="12.5" style="60" bestFit="1" customWidth="1"/>
    <col min="8" max="14" width="13.33203125" style="60" bestFit="1" customWidth="1"/>
    <col min="15" max="15" width="16" style="60" customWidth="1"/>
    <col min="16" max="16384" width="25" style="60"/>
  </cols>
  <sheetData>
    <row r="2" spans="2:15" ht="15">
      <c r="B2" s="58" t="s">
        <v>96</v>
      </c>
      <c r="C2" s="58" t="s">
        <v>97</v>
      </c>
      <c r="D2" s="58" t="s">
        <v>98</v>
      </c>
      <c r="E2" s="58" t="s">
        <v>99</v>
      </c>
      <c r="F2" s="58" t="s">
        <v>146</v>
      </c>
      <c r="G2" s="59" t="s">
        <v>147</v>
      </c>
      <c r="H2" s="59" t="s">
        <v>148</v>
      </c>
      <c r="I2" s="59" t="s">
        <v>149</v>
      </c>
      <c r="J2" s="59" t="s">
        <v>150</v>
      </c>
      <c r="K2" s="59" t="s">
        <v>151</v>
      </c>
      <c r="L2" s="59" t="s">
        <v>85</v>
      </c>
      <c r="M2" s="59" t="s">
        <v>126</v>
      </c>
      <c r="N2" s="59" t="s">
        <v>178</v>
      </c>
      <c r="O2" s="59" t="s">
        <v>302</v>
      </c>
    </row>
    <row r="3" spans="2:15" ht="45">
      <c r="B3" s="61" t="s">
        <v>289</v>
      </c>
      <c r="C3" s="62" t="s">
        <v>101</v>
      </c>
      <c r="D3" s="62" t="s">
        <v>102</v>
      </c>
      <c r="E3" s="61" t="s">
        <v>103</v>
      </c>
      <c r="F3" s="61" t="s">
        <v>104</v>
      </c>
      <c r="G3" s="63">
        <v>0.35599999999999998</v>
      </c>
      <c r="H3" s="63">
        <v>0.3196</v>
      </c>
      <c r="I3" s="63">
        <v>0.58409999999999995</v>
      </c>
      <c r="J3" s="63">
        <v>0.5806</v>
      </c>
      <c r="K3" s="63">
        <v>0.54930000000000001</v>
      </c>
      <c r="L3" s="64">
        <v>0.2984</v>
      </c>
      <c r="M3" s="64">
        <v>1.1233</v>
      </c>
      <c r="N3" s="92">
        <v>0.72130000000000005</v>
      </c>
      <c r="O3" s="92">
        <v>1.7895000000000001</v>
      </c>
    </row>
    <row r="4" spans="2:15" ht="30">
      <c r="B4" s="61" t="s">
        <v>105</v>
      </c>
      <c r="C4" s="62" t="s">
        <v>106</v>
      </c>
      <c r="D4" s="62" t="s">
        <v>107</v>
      </c>
      <c r="E4" s="61" t="s">
        <v>108</v>
      </c>
      <c r="F4" s="61" t="s">
        <v>109</v>
      </c>
      <c r="G4" s="63">
        <v>1.2849999999999999</v>
      </c>
      <c r="H4" s="63">
        <v>1.1933</v>
      </c>
      <c r="I4" s="63">
        <v>1.1634</v>
      </c>
      <c r="J4" s="63">
        <v>0.96819999999999995</v>
      </c>
      <c r="K4" s="63">
        <v>0.7974</v>
      </c>
      <c r="L4" s="64">
        <v>0.9929</v>
      </c>
      <c r="M4" s="64">
        <v>0.76900000000000002</v>
      </c>
      <c r="N4" s="92">
        <v>0.84530000000000005</v>
      </c>
      <c r="O4" s="92">
        <v>0.73319999999999996</v>
      </c>
    </row>
    <row r="5" spans="2:15" ht="60">
      <c r="B5" s="61" t="s">
        <v>110</v>
      </c>
      <c r="C5" s="62" t="s">
        <v>111</v>
      </c>
      <c r="D5" s="62" t="s">
        <v>112</v>
      </c>
      <c r="E5" s="61" t="s">
        <v>108</v>
      </c>
      <c r="F5" s="61" t="s">
        <v>113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6">
        <v>0</v>
      </c>
      <c r="M5" s="64">
        <v>2.2599999999999999E-2</v>
      </c>
      <c r="N5" s="92">
        <v>9.1999999999999998E-3</v>
      </c>
      <c r="O5" s="92">
        <v>2.5999999999999999E-3</v>
      </c>
    </row>
    <row r="6" spans="2:15" ht="45">
      <c r="B6" s="61" t="s">
        <v>290</v>
      </c>
      <c r="C6" s="62" t="s">
        <v>114</v>
      </c>
      <c r="D6" s="62" t="s">
        <v>115</v>
      </c>
      <c r="E6" s="61" t="s">
        <v>116</v>
      </c>
      <c r="F6" s="61" t="s">
        <v>117</v>
      </c>
      <c r="G6" s="67" t="s">
        <v>152</v>
      </c>
      <c r="H6" s="67" t="s">
        <v>152</v>
      </c>
      <c r="I6" s="67" t="s">
        <v>152</v>
      </c>
      <c r="J6" s="67" t="s">
        <v>152</v>
      </c>
      <c r="K6" s="67" t="s">
        <v>152</v>
      </c>
      <c r="L6" s="68" t="s">
        <v>152</v>
      </c>
      <c r="M6" s="68" t="s">
        <v>152</v>
      </c>
      <c r="N6" s="8" t="s">
        <v>152</v>
      </c>
      <c r="O6" s="8" t="s">
        <v>152</v>
      </c>
    </row>
    <row r="7" spans="2:15" ht="30">
      <c r="B7" s="61" t="s">
        <v>118</v>
      </c>
      <c r="C7" s="62" t="s">
        <v>119</v>
      </c>
      <c r="D7" s="62" t="s">
        <v>120</v>
      </c>
      <c r="E7" s="61" t="s">
        <v>108</v>
      </c>
      <c r="F7" s="61" t="s">
        <v>121</v>
      </c>
      <c r="G7" s="63">
        <v>0.83499999999999996</v>
      </c>
      <c r="H7" s="63">
        <v>1.3187</v>
      </c>
      <c r="I7" s="63">
        <v>1.2899</v>
      </c>
      <c r="J7" s="63">
        <v>1.1802999999999999</v>
      </c>
      <c r="K7" s="63">
        <v>1.2315</v>
      </c>
      <c r="L7" s="64">
        <v>1.3251999999999999</v>
      </c>
      <c r="M7" s="64">
        <v>1.0592999999999999</v>
      </c>
      <c r="N7" s="92">
        <v>1.1863999999999999</v>
      </c>
      <c r="O7" s="92">
        <v>1.2882</v>
      </c>
    </row>
    <row r="8" spans="2:15" ht="45">
      <c r="B8" s="69" t="s">
        <v>153</v>
      </c>
      <c r="C8" s="69" t="s">
        <v>123</v>
      </c>
      <c r="D8" s="70" t="s">
        <v>124</v>
      </c>
      <c r="E8" s="71" t="s">
        <v>108</v>
      </c>
      <c r="F8" s="69" t="s">
        <v>125</v>
      </c>
      <c r="G8" s="67" t="s">
        <v>154</v>
      </c>
      <c r="H8" s="67" t="s">
        <v>155</v>
      </c>
      <c r="I8" s="67" t="s">
        <v>156</v>
      </c>
      <c r="J8" s="63">
        <v>3.2800000000000003E-2</v>
      </c>
      <c r="K8" s="63">
        <v>0.254</v>
      </c>
      <c r="L8" s="64">
        <v>7.1999999999999998E-3</v>
      </c>
      <c r="M8" s="64">
        <v>0.3004</v>
      </c>
      <c r="N8" s="92">
        <v>0.18279999999999999</v>
      </c>
      <c r="O8" s="92">
        <v>0.36399999999999999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04E1-320F-3843-AD01-1BC6D742EB28}">
  <dimension ref="B2:K17"/>
  <sheetViews>
    <sheetView zoomScale="90" zoomScaleNormal="90" workbookViewId="0">
      <selection activeCell="J26" sqref="J26"/>
    </sheetView>
  </sheetViews>
  <sheetFormatPr baseColWidth="10" defaultColWidth="45.6640625" defaultRowHeight="15"/>
  <cols>
    <col min="1" max="1" width="9.1640625" customWidth="1"/>
    <col min="2" max="2" width="44.83203125" customWidth="1"/>
    <col min="3" max="3" width="11.6640625" bestFit="1" customWidth="1"/>
    <col min="4" max="4" width="32.33203125" bestFit="1" customWidth="1"/>
    <col min="5" max="5" width="17.6640625" bestFit="1" customWidth="1"/>
    <col min="6" max="6" width="19.1640625" bestFit="1" customWidth="1"/>
    <col min="7" max="7" width="16.83203125" bestFit="1" customWidth="1"/>
    <col min="8" max="8" width="19" bestFit="1" customWidth="1"/>
    <col min="9" max="9" width="15.83203125" bestFit="1" customWidth="1"/>
    <col min="10" max="10" width="15.33203125" bestFit="1" customWidth="1"/>
    <col min="11" max="11" width="14.6640625" bestFit="1" customWidth="1"/>
  </cols>
  <sheetData>
    <row r="2" spans="2:11" ht="16">
      <c r="B2" s="93" t="s">
        <v>303</v>
      </c>
    </row>
    <row r="3" spans="2:11" ht="16">
      <c r="B3" s="12" t="s">
        <v>304</v>
      </c>
    </row>
    <row r="5" spans="2:11" ht="16">
      <c r="B5" s="16" t="s">
        <v>139</v>
      </c>
      <c r="C5" s="2"/>
      <c r="D5" s="2"/>
      <c r="E5" s="2"/>
      <c r="F5" s="2"/>
      <c r="G5" s="2"/>
      <c r="H5" s="2"/>
      <c r="I5" s="2"/>
      <c r="J5" s="2"/>
      <c r="K5" s="2"/>
    </row>
    <row r="6" spans="2:11" ht="1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140</v>
      </c>
      <c r="I6" s="1" t="s">
        <v>141</v>
      </c>
      <c r="J6" s="1" t="s">
        <v>142</v>
      </c>
      <c r="K6" s="1" t="s">
        <v>143</v>
      </c>
    </row>
    <row r="7" spans="2:11" ht="16">
      <c r="B7" s="4" t="s">
        <v>7</v>
      </c>
      <c r="C7" s="5" t="s">
        <v>8</v>
      </c>
      <c r="D7" s="8">
        <f>'Check Now 26.17 Analysis'!D239</f>
        <v>70</v>
      </c>
      <c r="E7" s="8">
        <f>'Check Now 26.17 Analysis'!E239</f>
        <v>0</v>
      </c>
      <c r="F7" s="8">
        <f>'Check Now 26.17 Analysis'!F239</f>
        <v>1</v>
      </c>
      <c r="G7" s="8">
        <f>'Check Now 26.17 Analysis'!G239</f>
        <v>63</v>
      </c>
      <c r="H7" s="8">
        <f>'Check Now 26.17 Analysis'!H239</f>
        <v>26</v>
      </c>
      <c r="I7" s="8">
        <f>'Check Now 26.17 Analysis'!I239</f>
        <v>63</v>
      </c>
      <c r="J7" s="52">
        <f t="shared" ref="J7:J17" si="0">I7/G7</f>
        <v>1</v>
      </c>
      <c r="K7" s="52">
        <f t="shared" ref="K7:K17" si="1">I7/H7</f>
        <v>2.4230769230769229</v>
      </c>
    </row>
    <row r="8" spans="2:11" ht="16">
      <c r="B8" s="4" t="s">
        <v>10</v>
      </c>
      <c r="C8" s="5" t="s">
        <v>11</v>
      </c>
      <c r="D8" s="8">
        <f>'Check Now 26.17 Analysis'!D240</f>
        <v>70</v>
      </c>
      <c r="E8" s="8">
        <f>'Check Now 26.17 Analysis'!E240</f>
        <v>0</v>
      </c>
      <c r="F8" s="8">
        <f>'Check Now 26.17 Analysis'!F240</f>
        <v>1</v>
      </c>
      <c r="G8" s="8">
        <f>'Check Now 26.17 Analysis'!G240</f>
        <v>63</v>
      </c>
      <c r="H8" s="8">
        <f>'Check Now 26.17 Analysis'!H240</f>
        <v>56.5</v>
      </c>
      <c r="I8" s="8">
        <f>'Check Now 26.17 Analysis'!I240</f>
        <v>90</v>
      </c>
      <c r="J8" s="52">
        <f t="shared" si="0"/>
        <v>1.4285714285714286</v>
      </c>
      <c r="K8" s="52">
        <f t="shared" si="1"/>
        <v>1.5929203539823009</v>
      </c>
    </row>
    <row r="9" spans="2:11" ht="16">
      <c r="B9" s="4" t="s">
        <v>12</v>
      </c>
      <c r="C9" s="5" t="s">
        <v>11</v>
      </c>
      <c r="D9" s="8">
        <f>'Check Now 26.17 Analysis'!D241</f>
        <v>40</v>
      </c>
      <c r="E9" s="8">
        <f>'Check Now 26.17 Analysis'!E241</f>
        <v>0</v>
      </c>
      <c r="F9" s="8">
        <f>'Check Now 26.17 Analysis'!F241</f>
        <v>1</v>
      </c>
      <c r="G9" s="8">
        <f>'Check Now 26.17 Analysis'!G241</f>
        <v>36</v>
      </c>
      <c r="H9" s="8">
        <f>'Check Now 26.17 Analysis'!H241</f>
        <v>12</v>
      </c>
      <c r="I9" s="8">
        <f>'Check Now 26.17 Analysis'!I241</f>
        <v>14</v>
      </c>
      <c r="J9" s="52">
        <f t="shared" si="0"/>
        <v>0.3888888888888889</v>
      </c>
      <c r="K9" s="52">
        <f t="shared" si="1"/>
        <v>1.1666666666666667</v>
      </c>
    </row>
    <row r="10" spans="2:11" ht="16">
      <c r="B10" s="7" t="s">
        <v>14</v>
      </c>
      <c r="C10" s="5" t="s">
        <v>15</v>
      </c>
      <c r="D10" s="8">
        <f>'Check Now 26.17 Analysis'!D242</f>
        <v>70</v>
      </c>
      <c r="E10" s="8">
        <f>'Check Now 26.17 Analysis'!E242</f>
        <v>0</v>
      </c>
      <c r="F10" s="8">
        <f>'Check Now 26.17 Analysis'!F242</f>
        <v>0</v>
      </c>
      <c r="G10" s="8">
        <f>'Check Now 26.17 Analysis'!G242</f>
        <v>70</v>
      </c>
      <c r="H10" s="8">
        <f>'Check Now 26.17 Analysis'!H242</f>
        <v>97</v>
      </c>
      <c r="I10" s="8">
        <f>'Check Now 26.17 Analysis'!I242</f>
        <v>99.5</v>
      </c>
      <c r="J10" s="52">
        <f t="shared" si="0"/>
        <v>1.4214285714285715</v>
      </c>
      <c r="K10" s="52">
        <f t="shared" si="1"/>
        <v>1.0257731958762886</v>
      </c>
    </row>
    <row r="11" spans="2:11" ht="16">
      <c r="B11" s="4" t="s">
        <v>16</v>
      </c>
      <c r="C11" s="5" t="s">
        <v>11</v>
      </c>
      <c r="D11" s="8">
        <f>'Check Now 26.17 Analysis'!D243</f>
        <v>70</v>
      </c>
      <c r="E11" s="8">
        <f>'Check Now 26.17 Analysis'!E243</f>
        <v>0</v>
      </c>
      <c r="F11" s="8">
        <f>'Check Now 26.17 Analysis'!F243</f>
        <v>0</v>
      </c>
      <c r="G11" s="8">
        <f>'Check Now 26.17 Analysis'!G243</f>
        <v>70</v>
      </c>
      <c r="H11" s="8">
        <f>'Check Now 26.17 Analysis'!H243</f>
        <v>48</v>
      </c>
      <c r="I11" s="8">
        <f>'Check Now 26.17 Analysis'!I243</f>
        <v>77</v>
      </c>
      <c r="J11" s="52">
        <f t="shared" si="0"/>
        <v>1.1000000000000001</v>
      </c>
      <c r="K11" s="52">
        <f t="shared" si="1"/>
        <v>1.6041666666666667</v>
      </c>
    </row>
    <row r="12" spans="2:11" ht="16">
      <c r="B12" s="4" t="s">
        <v>18</v>
      </c>
      <c r="C12" s="5" t="s">
        <v>8</v>
      </c>
      <c r="D12" s="8">
        <f>'Check Now 26.17 Analysis'!D244</f>
        <v>70</v>
      </c>
      <c r="E12" s="8">
        <f>'Check Now 26.17 Analysis'!E244</f>
        <v>0</v>
      </c>
      <c r="F12" s="8">
        <f>'Check Now 26.17 Analysis'!F244</f>
        <v>2</v>
      </c>
      <c r="G12" s="8">
        <f>'Check Now 26.17 Analysis'!G244</f>
        <v>56</v>
      </c>
      <c r="H12" s="8">
        <f>'Check Now 26.17 Analysis'!H244</f>
        <v>94</v>
      </c>
      <c r="I12" s="8">
        <f>'Check Now 26.17 Analysis'!I244</f>
        <v>104</v>
      </c>
      <c r="J12" s="52">
        <f t="shared" si="0"/>
        <v>1.8571428571428572</v>
      </c>
      <c r="K12" s="52">
        <f t="shared" si="1"/>
        <v>1.1063829787234043</v>
      </c>
    </row>
    <row r="13" spans="2:11" ht="16">
      <c r="B13" s="4" t="s">
        <v>20</v>
      </c>
      <c r="C13" s="5" t="s">
        <v>8</v>
      </c>
      <c r="D13" s="8">
        <f>'Check Now 26.17 Analysis'!D245</f>
        <v>70</v>
      </c>
      <c r="E13" s="8">
        <f>'Check Now 26.17 Analysis'!E245</f>
        <v>0</v>
      </c>
      <c r="F13" s="8">
        <f>'Check Now 26.17 Analysis'!F245</f>
        <v>0</v>
      </c>
      <c r="G13" s="8">
        <f>'Check Now 26.17 Analysis'!G245</f>
        <v>70</v>
      </c>
      <c r="H13" s="8">
        <f>'Check Now 26.17 Analysis'!H245</f>
        <v>64</v>
      </c>
      <c r="I13" s="8">
        <f>'Check Now 26.17 Analysis'!I245</f>
        <v>85</v>
      </c>
      <c r="J13" s="52">
        <f t="shared" si="0"/>
        <v>1.2142857142857142</v>
      </c>
      <c r="K13" s="52">
        <f t="shared" si="1"/>
        <v>1.328125</v>
      </c>
    </row>
    <row r="14" spans="2:11" ht="16">
      <c r="B14" s="4" t="s">
        <v>21</v>
      </c>
      <c r="C14" s="5" t="s">
        <v>11</v>
      </c>
      <c r="D14" s="8">
        <f>'Check Now 26.17 Analysis'!D246</f>
        <v>70</v>
      </c>
      <c r="E14" s="8">
        <f>'Check Now 26.17 Analysis'!E246</f>
        <v>0</v>
      </c>
      <c r="F14" s="8">
        <f>'Check Now 26.17 Analysis'!F246</f>
        <v>0</v>
      </c>
      <c r="G14" s="8">
        <f>'Check Now 26.17 Analysis'!G246</f>
        <v>70</v>
      </c>
      <c r="H14" s="8">
        <f>'Check Now 26.17 Analysis'!H246</f>
        <v>64</v>
      </c>
      <c r="I14" s="8">
        <f>'Check Now 26.17 Analysis'!I246</f>
        <v>111.83</v>
      </c>
      <c r="J14" s="52">
        <f t="shared" si="0"/>
        <v>1.5975714285714286</v>
      </c>
      <c r="K14" s="52">
        <f t="shared" si="1"/>
        <v>1.74734375</v>
      </c>
    </row>
    <row r="15" spans="2:11" ht="16">
      <c r="B15" s="4" t="s">
        <v>22</v>
      </c>
      <c r="C15" s="5" t="s">
        <v>9</v>
      </c>
      <c r="D15" s="8">
        <f>'Check Now 26.17 Analysis'!D247</f>
        <v>70</v>
      </c>
      <c r="E15" s="8">
        <f>'Check Now 26.17 Analysis'!E247</f>
        <v>0</v>
      </c>
      <c r="F15" s="8">
        <f>'Check Now 26.17 Analysis'!F247</f>
        <v>3</v>
      </c>
      <c r="G15" s="8">
        <f>'Check Now 26.17 Analysis'!G247</f>
        <v>49</v>
      </c>
      <c r="H15" s="8">
        <f>'Check Now 26.17 Analysis'!H247</f>
        <v>49</v>
      </c>
      <c r="I15" s="8">
        <f>'Check Now 26.17 Analysis'!I247</f>
        <v>31</v>
      </c>
      <c r="J15" s="52">
        <f t="shared" si="0"/>
        <v>0.63265306122448983</v>
      </c>
      <c r="K15" s="52">
        <f t="shared" si="1"/>
        <v>0.63265306122448983</v>
      </c>
    </row>
    <row r="16" spans="2:11" ht="16">
      <c r="B16" s="4" t="s">
        <v>23</v>
      </c>
      <c r="C16" s="5" t="s">
        <v>9</v>
      </c>
      <c r="D16" s="8">
        <f>'Check Now 26.17 Analysis'!D248</f>
        <v>70</v>
      </c>
      <c r="E16" s="8">
        <f>'Check Now 26.17 Analysis'!E248</f>
        <v>0</v>
      </c>
      <c r="F16" s="8">
        <f>'Check Now 26.17 Analysis'!F248</f>
        <v>0</v>
      </c>
      <c r="G16" s="8">
        <f>'Check Now 26.17 Analysis'!G248</f>
        <v>70</v>
      </c>
      <c r="H16" s="8">
        <f>'Check Now 26.17 Analysis'!H248</f>
        <v>89</v>
      </c>
      <c r="I16" s="8">
        <f>'Check Now 26.17 Analysis'!I248</f>
        <v>109.92</v>
      </c>
      <c r="J16" s="52">
        <f t="shared" si="0"/>
        <v>1.5702857142857143</v>
      </c>
      <c r="K16" s="52">
        <f t="shared" si="1"/>
        <v>1.2350561797752808</v>
      </c>
    </row>
    <row r="17" spans="2:11">
      <c r="B17" s="47" t="s">
        <v>128</v>
      </c>
      <c r="D17" s="51">
        <f>SUM(D7:D16)</f>
        <v>670</v>
      </c>
      <c r="E17" s="51">
        <f t="shared" ref="E17:I17" si="2">SUM(E7:E16)</f>
        <v>0</v>
      </c>
      <c r="F17" s="51">
        <f t="shared" si="2"/>
        <v>8</v>
      </c>
      <c r="G17" s="51">
        <f t="shared" si="2"/>
        <v>617</v>
      </c>
      <c r="H17" s="51">
        <f t="shared" si="2"/>
        <v>599.5</v>
      </c>
      <c r="I17" s="51">
        <f t="shared" si="2"/>
        <v>785.25</v>
      </c>
      <c r="J17" s="30">
        <f t="shared" si="0"/>
        <v>1.2726904376012966</v>
      </c>
      <c r="K17" s="30">
        <f t="shared" si="1"/>
        <v>1.3098415346121768</v>
      </c>
    </row>
  </sheetData>
  <conditionalFormatting sqref="B7:B16">
    <cfRule type="duplicateValues" dxfId="0" priority="3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A0B4-4732-2C48-8517-03A9B8E4C402}">
  <dimension ref="B1:AD52"/>
  <sheetViews>
    <sheetView topLeftCell="O1" workbookViewId="0">
      <selection activeCell="AD5" sqref="AD5"/>
    </sheetView>
  </sheetViews>
  <sheetFormatPr baseColWidth="10" defaultRowHeight="15"/>
  <cols>
    <col min="2" max="2" width="26.1640625" bestFit="1" customWidth="1"/>
    <col min="3" max="3" width="6.1640625" bestFit="1" customWidth="1"/>
    <col min="4" max="4" width="13" bestFit="1" customWidth="1"/>
    <col min="5" max="5" width="52.83203125" bestFit="1" customWidth="1"/>
    <col min="6" max="6" width="10" bestFit="1" customWidth="1"/>
    <col min="7" max="7" width="13" bestFit="1" customWidth="1"/>
    <col min="8" max="8" width="2.6640625" customWidth="1"/>
    <col min="9" max="9" width="29.6640625" bestFit="1" customWidth="1"/>
    <col min="10" max="10" width="3.1640625" bestFit="1" customWidth="1"/>
    <col min="11" max="11" width="10.5" customWidth="1"/>
    <col min="12" max="12" width="40.83203125" bestFit="1" customWidth="1"/>
    <col min="13" max="13" width="7.1640625" bestFit="1" customWidth="1"/>
    <col min="14" max="14" width="13" bestFit="1" customWidth="1"/>
    <col min="15" max="15" width="59.5" bestFit="1" customWidth="1"/>
    <col min="16" max="16" width="10" bestFit="1" customWidth="1"/>
    <col min="17" max="17" width="16.33203125" bestFit="1" customWidth="1"/>
    <col min="18" max="18" width="3.83203125" customWidth="1"/>
    <col min="19" max="19" width="29.6640625" bestFit="1" customWidth="1"/>
    <col min="20" max="20" width="3.1640625" bestFit="1" customWidth="1"/>
    <col min="22" max="22" width="36" bestFit="1" customWidth="1"/>
    <col min="23" max="23" width="6.1640625" bestFit="1" customWidth="1"/>
    <col min="24" max="24" width="11.6640625" bestFit="1" customWidth="1"/>
    <col min="25" max="25" width="52.83203125" bestFit="1" customWidth="1"/>
    <col min="26" max="26" width="9.1640625" bestFit="1" customWidth="1"/>
    <col min="27" max="27" width="14.1640625" bestFit="1" customWidth="1"/>
    <col min="29" max="29" width="29.6640625" bestFit="1" customWidth="1"/>
  </cols>
  <sheetData>
    <row r="1" spans="2:30" ht="16">
      <c r="B1" s="93" t="s">
        <v>25</v>
      </c>
      <c r="L1" s="93" t="s">
        <v>177</v>
      </c>
      <c r="V1" s="93" t="s">
        <v>303</v>
      </c>
    </row>
    <row r="2" spans="2:30" ht="16">
      <c r="B2" s="15" t="s">
        <v>26</v>
      </c>
      <c r="C2" s="15" t="s">
        <v>27</v>
      </c>
      <c r="D2" s="15" t="s">
        <v>28</v>
      </c>
      <c r="E2" s="15" t="s">
        <v>29</v>
      </c>
      <c r="F2" s="15" t="s">
        <v>31</v>
      </c>
      <c r="G2" s="15" t="s">
        <v>30</v>
      </c>
      <c r="I2" s="91" t="s">
        <v>32</v>
      </c>
      <c r="J2" s="6">
        <f ca="1">SUMIF(B3:G62,B20,(F3:F62))</f>
        <v>6</v>
      </c>
      <c r="L2" s="96" t="s">
        <v>26</v>
      </c>
      <c r="M2" s="96" t="s">
        <v>27</v>
      </c>
      <c r="N2" s="96" t="s">
        <v>28</v>
      </c>
      <c r="O2" s="96" t="s">
        <v>29</v>
      </c>
      <c r="P2" s="96" t="s">
        <v>31</v>
      </c>
      <c r="Q2" s="96" t="s">
        <v>30</v>
      </c>
      <c r="S2" s="91" t="s">
        <v>32</v>
      </c>
      <c r="T2" s="6">
        <f>P3+P4+P5+P7</f>
        <v>12</v>
      </c>
      <c r="V2" s="13" t="s">
        <v>26</v>
      </c>
      <c r="W2" s="13" t="s">
        <v>27</v>
      </c>
      <c r="X2" s="13" t="s">
        <v>28</v>
      </c>
      <c r="Y2" s="13" t="s">
        <v>29</v>
      </c>
      <c r="Z2" s="13" t="s">
        <v>31</v>
      </c>
      <c r="AA2" s="13" t="s">
        <v>30</v>
      </c>
      <c r="AC2" s="91" t="s">
        <v>32</v>
      </c>
      <c r="AD2" s="6">
        <f>Z3+Z4+Z5+Z6</f>
        <v>14</v>
      </c>
    </row>
    <row r="3" spans="2:30">
      <c r="B3" s="13" t="s">
        <v>61</v>
      </c>
      <c r="C3" s="14">
        <v>241399</v>
      </c>
      <c r="D3" s="13" t="s">
        <v>33</v>
      </c>
      <c r="E3" s="13" t="s">
        <v>62</v>
      </c>
      <c r="F3" s="13">
        <v>1</v>
      </c>
      <c r="G3" s="13" t="s">
        <v>38</v>
      </c>
      <c r="I3" s="91" t="s">
        <v>61</v>
      </c>
      <c r="J3" s="6">
        <f ca="1">SUMIF(B3:G63,B3,(F3:F63))</f>
        <v>13</v>
      </c>
      <c r="L3" s="8" t="s">
        <v>32</v>
      </c>
      <c r="M3" s="95">
        <v>228373</v>
      </c>
      <c r="N3" s="8" t="s">
        <v>33</v>
      </c>
      <c r="O3" s="8" t="s">
        <v>34</v>
      </c>
      <c r="P3" s="8">
        <v>3</v>
      </c>
      <c r="Q3" s="8" t="s">
        <v>191</v>
      </c>
      <c r="S3" s="91" t="s">
        <v>61</v>
      </c>
      <c r="T3" s="6">
        <f>P27+P29+P31+P35+P36</f>
        <v>29</v>
      </c>
      <c r="V3" s="13" t="s">
        <v>32</v>
      </c>
      <c r="W3" s="14">
        <v>260293</v>
      </c>
      <c r="X3" s="13" t="s">
        <v>33</v>
      </c>
      <c r="Y3" s="13" t="s">
        <v>36</v>
      </c>
      <c r="Z3" s="13">
        <v>3</v>
      </c>
      <c r="AA3" s="13" t="s">
        <v>306</v>
      </c>
      <c r="AC3" s="91" t="s">
        <v>61</v>
      </c>
      <c r="AD3" s="6">
        <f>+Z12+Z18+Z19+Z15</f>
        <v>16</v>
      </c>
    </row>
    <row r="4" spans="2:30">
      <c r="B4" s="13" t="s">
        <v>61</v>
      </c>
      <c r="C4" s="14">
        <v>241399</v>
      </c>
      <c r="D4" s="13" t="s">
        <v>33</v>
      </c>
      <c r="E4" s="13" t="s">
        <v>63</v>
      </c>
      <c r="F4" s="13">
        <v>1</v>
      </c>
      <c r="G4" s="13" t="s">
        <v>38</v>
      </c>
      <c r="I4" s="91" t="s">
        <v>41</v>
      </c>
      <c r="J4" s="6">
        <f ca="1">SUMIF(B3:G64,B36,(F3:F41))</f>
        <v>63</v>
      </c>
      <c r="L4" s="8" t="s">
        <v>32</v>
      </c>
      <c r="M4" s="95">
        <v>260293</v>
      </c>
      <c r="N4" s="8" t="s">
        <v>33</v>
      </c>
      <c r="O4" s="8" t="s">
        <v>36</v>
      </c>
      <c r="P4" s="8">
        <v>3</v>
      </c>
      <c r="Q4" s="8" t="s">
        <v>35</v>
      </c>
      <c r="S4" s="91" t="s">
        <v>41</v>
      </c>
      <c r="T4" s="6">
        <f>P14</f>
        <v>3</v>
      </c>
      <c r="V4" s="13" t="s">
        <v>32</v>
      </c>
      <c r="W4" s="14">
        <v>227974</v>
      </c>
      <c r="X4" s="13" t="s">
        <v>33</v>
      </c>
      <c r="Y4" s="13" t="s">
        <v>192</v>
      </c>
      <c r="Z4" s="13">
        <v>3</v>
      </c>
      <c r="AA4" s="13" t="s">
        <v>306</v>
      </c>
      <c r="AC4" s="91" t="s">
        <v>41</v>
      </c>
      <c r="AD4" s="6">
        <f>Z28+Z29+Z30+Z31+Z32+Z33+Z34+Z35+Z36+Z38+Z39+Z44+Z48+Z26+Z40</f>
        <v>72</v>
      </c>
    </row>
    <row r="5" spans="2:30">
      <c r="B5" s="13" t="s">
        <v>61</v>
      </c>
      <c r="C5" s="14">
        <v>195967</v>
      </c>
      <c r="D5" s="13" t="s">
        <v>33</v>
      </c>
      <c r="E5" s="13" t="s">
        <v>65</v>
      </c>
      <c r="F5" s="13">
        <v>3</v>
      </c>
      <c r="G5" s="13" t="s">
        <v>38</v>
      </c>
      <c r="I5" s="91" t="s">
        <v>64</v>
      </c>
      <c r="J5" s="6">
        <v>0</v>
      </c>
      <c r="L5" s="8" t="s">
        <v>32</v>
      </c>
      <c r="M5" s="95">
        <v>227974</v>
      </c>
      <c r="N5" s="8" t="s">
        <v>33</v>
      </c>
      <c r="O5" s="8" t="s">
        <v>192</v>
      </c>
      <c r="P5" s="8">
        <v>3</v>
      </c>
      <c r="Q5" s="8" t="s">
        <v>35</v>
      </c>
      <c r="S5" s="91" t="s">
        <v>64</v>
      </c>
      <c r="T5" s="6">
        <v>0</v>
      </c>
      <c r="V5" s="13" t="s">
        <v>32</v>
      </c>
      <c r="W5" s="14">
        <v>228363</v>
      </c>
      <c r="X5" s="13" t="s">
        <v>33</v>
      </c>
      <c r="Y5" s="13" t="s">
        <v>307</v>
      </c>
      <c r="Z5" s="13">
        <v>5</v>
      </c>
      <c r="AA5" s="13" t="s">
        <v>306</v>
      </c>
      <c r="AC5" s="91" t="s">
        <v>64</v>
      </c>
      <c r="AD5" s="6">
        <v>0</v>
      </c>
    </row>
    <row r="6" spans="2:30">
      <c r="B6" s="13" t="s">
        <v>61</v>
      </c>
      <c r="C6" s="14">
        <v>195967</v>
      </c>
      <c r="D6" s="13" t="s">
        <v>33</v>
      </c>
      <c r="E6" s="13" t="s">
        <v>66</v>
      </c>
      <c r="F6" s="13">
        <v>0</v>
      </c>
      <c r="G6" s="13" t="s">
        <v>38</v>
      </c>
      <c r="J6" s="26">
        <f ca="1">SUM(J2:J5)</f>
        <v>82</v>
      </c>
      <c r="L6" s="8" t="s">
        <v>32</v>
      </c>
      <c r="M6" s="95">
        <v>251864</v>
      </c>
      <c r="N6" s="8" t="s">
        <v>33</v>
      </c>
      <c r="O6" s="8" t="s">
        <v>39</v>
      </c>
      <c r="P6" s="8">
        <v>3</v>
      </c>
      <c r="Q6" s="8" t="s">
        <v>38</v>
      </c>
      <c r="T6" s="26">
        <f>SUM(T2:T5)</f>
        <v>44</v>
      </c>
      <c r="V6" s="13" t="s">
        <v>32</v>
      </c>
      <c r="W6" s="14">
        <v>228369</v>
      </c>
      <c r="X6" s="13" t="s">
        <v>33</v>
      </c>
      <c r="Y6" s="13" t="s">
        <v>193</v>
      </c>
      <c r="Z6" s="13">
        <v>3</v>
      </c>
      <c r="AA6" s="13" t="s">
        <v>306</v>
      </c>
      <c r="AD6" s="26">
        <f>SUM(AD2:AD5)</f>
        <v>102</v>
      </c>
    </row>
    <row r="7" spans="2:30">
      <c r="B7" s="13" t="s">
        <v>61</v>
      </c>
      <c r="C7" s="14">
        <v>195968</v>
      </c>
      <c r="D7" s="13" t="s">
        <v>33</v>
      </c>
      <c r="E7" s="13" t="s">
        <v>67</v>
      </c>
      <c r="F7" s="13">
        <v>0</v>
      </c>
      <c r="G7" s="13" t="s">
        <v>38</v>
      </c>
      <c r="L7" s="8" t="s">
        <v>32</v>
      </c>
      <c r="M7" s="95">
        <v>228369</v>
      </c>
      <c r="N7" s="8" t="s">
        <v>33</v>
      </c>
      <c r="O7" s="8" t="s">
        <v>193</v>
      </c>
      <c r="P7" s="8">
        <v>3</v>
      </c>
      <c r="Q7" s="8" t="s">
        <v>35</v>
      </c>
      <c r="V7" s="13" t="s">
        <v>32</v>
      </c>
      <c r="W7" s="14">
        <v>255494</v>
      </c>
      <c r="X7" s="13" t="s">
        <v>33</v>
      </c>
      <c r="Y7" s="13" t="s">
        <v>40</v>
      </c>
      <c r="Z7" s="13">
        <v>3</v>
      </c>
      <c r="AA7" s="13" t="s">
        <v>38</v>
      </c>
    </row>
    <row r="8" spans="2:30">
      <c r="B8" s="13" t="s">
        <v>61</v>
      </c>
      <c r="C8" s="14">
        <v>195968</v>
      </c>
      <c r="D8" s="13" t="s">
        <v>33</v>
      </c>
      <c r="E8" s="13" t="s">
        <v>68</v>
      </c>
      <c r="F8" s="13">
        <v>0</v>
      </c>
      <c r="G8" s="13" t="s">
        <v>38</v>
      </c>
      <c r="L8" s="8" t="s">
        <v>32</v>
      </c>
      <c r="M8" s="95">
        <v>255494</v>
      </c>
      <c r="N8" s="8" t="s">
        <v>33</v>
      </c>
      <c r="O8" s="8" t="s">
        <v>40</v>
      </c>
      <c r="P8" s="8">
        <v>3</v>
      </c>
      <c r="Q8" s="8" t="s">
        <v>38</v>
      </c>
      <c r="V8" s="13" t="s">
        <v>32</v>
      </c>
      <c r="W8" s="14">
        <v>227974</v>
      </c>
      <c r="X8" s="13" t="s">
        <v>33</v>
      </c>
      <c r="Y8" s="13" t="s">
        <v>194</v>
      </c>
      <c r="Z8" s="13">
        <v>5</v>
      </c>
      <c r="AA8" s="13" t="s">
        <v>42</v>
      </c>
    </row>
    <row r="9" spans="2:30">
      <c r="B9" s="13" t="s">
        <v>61</v>
      </c>
      <c r="C9" s="14">
        <v>195968</v>
      </c>
      <c r="D9" s="13" t="s">
        <v>33</v>
      </c>
      <c r="E9" s="13" t="s">
        <v>69</v>
      </c>
      <c r="F9" s="13">
        <v>0</v>
      </c>
      <c r="G9" s="13" t="s">
        <v>38</v>
      </c>
      <c r="L9" s="8" t="s">
        <v>32</v>
      </c>
      <c r="M9" s="95">
        <v>227974</v>
      </c>
      <c r="N9" s="8" t="s">
        <v>33</v>
      </c>
      <c r="O9" s="8" t="s">
        <v>194</v>
      </c>
      <c r="P9" s="8">
        <v>5</v>
      </c>
      <c r="Q9" s="8" t="s">
        <v>42</v>
      </c>
      <c r="V9" s="13" t="s">
        <v>41</v>
      </c>
      <c r="W9" s="14">
        <v>228964</v>
      </c>
      <c r="X9" s="13" t="s">
        <v>33</v>
      </c>
      <c r="Y9" s="13" t="s">
        <v>197</v>
      </c>
      <c r="Z9" s="13">
        <v>8</v>
      </c>
      <c r="AA9" s="13" t="s">
        <v>38</v>
      </c>
    </row>
    <row r="10" spans="2:30">
      <c r="B10" s="13" t="s">
        <v>61</v>
      </c>
      <c r="C10" s="14">
        <v>195968</v>
      </c>
      <c r="D10" s="13" t="s">
        <v>33</v>
      </c>
      <c r="E10" s="13" t="s">
        <v>70</v>
      </c>
      <c r="F10" s="13">
        <v>0</v>
      </c>
      <c r="G10" s="13" t="s">
        <v>38</v>
      </c>
      <c r="L10" s="8" t="s">
        <v>32</v>
      </c>
      <c r="M10" s="95">
        <v>242852</v>
      </c>
      <c r="N10" s="8" t="s">
        <v>33</v>
      </c>
      <c r="O10" s="8" t="s">
        <v>37</v>
      </c>
      <c r="P10" s="8">
        <v>3</v>
      </c>
      <c r="Q10" s="8" t="s">
        <v>38</v>
      </c>
      <c r="V10" s="13" t="s">
        <v>41</v>
      </c>
      <c r="W10" s="14">
        <v>228960</v>
      </c>
      <c r="X10" s="13" t="s">
        <v>33</v>
      </c>
      <c r="Y10" s="13" t="s">
        <v>45</v>
      </c>
      <c r="Z10" s="13">
        <v>5</v>
      </c>
      <c r="AA10" s="13" t="s">
        <v>38</v>
      </c>
    </row>
    <row r="11" spans="2:30">
      <c r="B11" s="13" t="s">
        <v>61</v>
      </c>
      <c r="C11" s="14">
        <v>195968</v>
      </c>
      <c r="D11" s="13" t="s">
        <v>33</v>
      </c>
      <c r="E11" s="13" t="s">
        <v>71</v>
      </c>
      <c r="F11" s="13">
        <v>0</v>
      </c>
      <c r="G11" s="13" t="s">
        <v>38</v>
      </c>
      <c r="L11" s="8" t="s">
        <v>41</v>
      </c>
      <c r="M11" s="95">
        <v>228964</v>
      </c>
      <c r="N11" s="8" t="s">
        <v>33</v>
      </c>
      <c r="O11" s="8" t="s">
        <v>195</v>
      </c>
      <c r="P11" s="8">
        <v>0</v>
      </c>
      <c r="Q11" s="8" t="s">
        <v>196</v>
      </c>
      <c r="V11" s="13" t="s">
        <v>41</v>
      </c>
      <c r="W11" s="14">
        <v>228960</v>
      </c>
      <c r="X11" s="13" t="s">
        <v>33</v>
      </c>
      <c r="Y11" s="13" t="s">
        <v>47</v>
      </c>
      <c r="Z11" s="13">
        <v>3</v>
      </c>
      <c r="AA11" s="13" t="s">
        <v>38</v>
      </c>
    </row>
    <row r="12" spans="2:30">
      <c r="B12" s="13" t="s">
        <v>61</v>
      </c>
      <c r="C12" s="14">
        <v>195968</v>
      </c>
      <c r="D12" s="13" t="s">
        <v>33</v>
      </c>
      <c r="E12" s="13" t="s">
        <v>72</v>
      </c>
      <c r="F12" s="13">
        <v>0</v>
      </c>
      <c r="G12" s="13" t="s">
        <v>38</v>
      </c>
      <c r="L12" s="8" t="s">
        <v>41</v>
      </c>
      <c r="M12" s="95">
        <v>228964</v>
      </c>
      <c r="N12" s="8" t="s">
        <v>33</v>
      </c>
      <c r="O12" s="8" t="s">
        <v>197</v>
      </c>
      <c r="P12" s="8">
        <v>8</v>
      </c>
      <c r="Q12" s="8" t="s">
        <v>38</v>
      </c>
      <c r="V12" s="13" t="s">
        <v>41</v>
      </c>
      <c r="W12" s="14">
        <v>228960</v>
      </c>
      <c r="X12" s="13" t="s">
        <v>33</v>
      </c>
      <c r="Y12" s="13" t="s">
        <v>44</v>
      </c>
      <c r="Z12" s="13">
        <v>3</v>
      </c>
      <c r="AA12" s="13" t="s">
        <v>200</v>
      </c>
    </row>
    <row r="13" spans="2:30">
      <c r="B13" s="13" t="s">
        <v>61</v>
      </c>
      <c r="C13" s="14">
        <v>195968</v>
      </c>
      <c r="D13" s="13" t="s">
        <v>33</v>
      </c>
      <c r="E13" s="13" t="s">
        <v>73</v>
      </c>
      <c r="F13" s="13">
        <v>0</v>
      </c>
      <c r="G13" s="13" t="s">
        <v>38</v>
      </c>
      <c r="L13" s="8" t="s">
        <v>41</v>
      </c>
      <c r="M13" s="95">
        <v>228960</v>
      </c>
      <c r="N13" s="8" t="s">
        <v>33</v>
      </c>
      <c r="O13" s="8" t="s">
        <v>45</v>
      </c>
      <c r="P13" s="8">
        <v>5</v>
      </c>
      <c r="Q13" s="8" t="s">
        <v>38</v>
      </c>
      <c r="V13" s="13" t="s">
        <v>41</v>
      </c>
      <c r="W13" s="14">
        <v>228960</v>
      </c>
      <c r="X13" s="13" t="s">
        <v>33</v>
      </c>
      <c r="Y13" s="13" t="s">
        <v>54</v>
      </c>
      <c r="Z13" s="13">
        <v>5</v>
      </c>
      <c r="AA13" s="13" t="s">
        <v>35</v>
      </c>
    </row>
    <row r="14" spans="2:30">
      <c r="B14" s="13" t="s">
        <v>61</v>
      </c>
      <c r="C14" s="14">
        <v>195968</v>
      </c>
      <c r="D14" s="13" t="s">
        <v>33</v>
      </c>
      <c r="E14" s="13" t="s">
        <v>74</v>
      </c>
      <c r="F14" s="13">
        <v>0</v>
      </c>
      <c r="G14" s="13" t="s">
        <v>38</v>
      </c>
      <c r="L14" s="8" t="s">
        <v>41</v>
      </c>
      <c r="M14" s="95">
        <v>228960</v>
      </c>
      <c r="N14" s="8" t="s">
        <v>33</v>
      </c>
      <c r="O14" s="8" t="s">
        <v>47</v>
      </c>
      <c r="P14" s="8">
        <v>3</v>
      </c>
      <c r="Q14" s="8" t="s">
        <v>48</v>
      </c>
      <c r="V14" s="13" t="s">
        <v>41</v>
      </c>
      <c r="W14" s="14">
        <v>228960</v>
      </c>
      <c r="X14" s="13" t="s">
        <v>33</v>
      </c>
      <c r="Y14" s="13" t="s">
        <v>50</v>
      </c>
      <c r="Z14" s="13">
        <v>3</v>
      </c>
      <c r="AA14" s="13" t="s">
        <v>191</v>
      </c>
    </row>
    <row r="15" spans="2:30">
      <c r="B15" s="13" t="s">
        <v>61</v>
      </c>
      <c r="C15" s="14">
        <v>195968</v>
      </c>
      <c r="D15" s="13" t="s">
        <v>33</v>
      </c>
      <c r="E15" s="13" t="s">
        <v>75</v>
      </c>
      <c r="F15" s="13">
        <v>0</v>
      </c>
      <c r="G15" s="13" t="s">
        <v>38</v>
      </c>
      <c r="L15" s="8" t="s">
        <v>41</v>
      </c>
      <c r="M15" s="95">
        <v>228960</v>
      </c>
      <c r="N15" s="8" t="s">
        <v>33</v>
      </c>
      <c r="O15" s="8" t="s">
        <v>54</v>
      </c>
      <c r="P15" s="8">
        <v>5</v>
      </c>
      <c r="Q15" s="8" t="s">
        <v>38</v>
      </c>
      <c r="V15" s="13" t="s">
        <v>41</v>
      </c>
      <c r="W15" s="14">
        <v>228960</v>
      </c>
      <c r="X15" s="13" t="s">
        <v>33</v>
      </c>
      <c r="Y15" s="13" t="s">
        <v>51</v>
      </c>
      <c r="Z15" s="13">
        <v>5</v>
      </c>
      <c r="AA15" s="13" t="s">
        <v>200</v>
      </c>
    </row>
    <row r="16" spans="2:30">
      <c r="B16" s="13" t="s">
        <v>61</v>
      </c>
      <c r="C16" s="14">
        <v>195968</v>
      </c>
      <c r="D16" s="13" t="s">
        <v>33</v>
      </c>
      <c r="E16" s="13" t="s">
        <v>76</v>
      </c>
      <c r="F16" s="13">
        <v>3</v>
      </c>
      <c r="G16" s="13" t="s">
        <v>77</v>
      </c>
      <c r="L16" s="8" t="s">
        <v>41</v>
      </c>
      <c r="M16" s="95">
        <v>228960</v>
      </c>
      <c r="N16" s="8" t="s">
        <v>33</v>
      </c>
      <c r="O16" s="8" t="s">
        <v>49</v>
      </c>
      <c r="P16" s="8">
        <v>3</v>
      </c>
      <c r="Q16" s="8" t="s">
        <v>38</v>
      </c>
      <c r="V16" s="13" t="s">
        <v>41</v>
      </c>
      <c r="W16" s="14">
        <v>228960</v>
      </c>
      <c r="X16" s="13" t="s">
        <v>33</v>
      </c>
      <c r="Y16" s="13" t="s">
        <v>53</v>
      </c>
      <c r="Z16" s="13">
        <v>5</v>
      </c>
      <c r="AA16" s="13" t="s">
        <v>38</v>
      </c>
    </row>
    <row r="17" spans="2:27">
      <c r="B17" s="13" t="s">
        <v>61</v>
      </c>
      <c r="C17" s="14">
        <v>195968</v>
      </c>
      <c r="D17" s="13" t="s">
        <v>33</v>
      </c>
      <c r="E17" s="13" t="s">
        <v>78</v>
      </c>
      <c r="F17" s="13">
        <v>0</v>
      </c>
      <c r="G17" s="13" t="s">
        <v>38</v>
      </c>
      <c r="L17" s="8" t="s">
        <v>41</v>
      </c>
      <c r="M17" s="95">
        <v>228960</v>
      </c>
      <c r="N17" s="8" t="s">
        <v>33</v>
      </c>
      <c r="O17" s="8" t="s">
        <v>51</v>
      </c>
      <c r="P17" s="8">
        <v>5</v>
      </c>
      <c r="Q17" s="8" t="s">
        <v>38</v>
      </c>
      <c r="V17" s="13" t="s">
        <v>41</v>
      </c>
      <c r="W17" s="14">
        <v>228960</v>
      </c>
      <c r="X17" s="13" t="s">
        <v>33</v>
      </c>
      <c r="Y17" s="13" t="s">
        <v>55</v>
      </c>
      <c r="Z17" s="13">
        <v>5</v>
      </c>
      <c r="AA17" s="13" t="s">
        <v>38</v>
      </c>
    </row>
    <row r="18" spans="2:27">
      <c r="B18" s="13" t="s">
        <v>61</v>
      </c>
      <c r="C18" s="14">
        <v>195968</v>
      </c>
      <c r="D18" s="13" t="s">
        <v>33</v>
      </c>
      <c r="E18" s="13" t="s">
        <v>79</v>
      </c>
      <c r="F18" s="13">
        <v>0</v>
      </c>
      <c r="G18" s="13" t="s">
        <v>38</v>
      </c>
      <c r="L18" s="8" t="s">
        <v>41</v>
      </c>
      <c r="M18" s="95">
        <v>228960</v>
      </c>
      <c r="N18" s="8" t="s">
        <v>33</v>
      </c>
      <c r="O18" s="8" t="s">
        <v>52</v>
      </c>
      <c r="P18" s="8">
        <v>3</v>
      </c>
      <c r="Q18" s="8" t="s">
        <v>38</v>
      </c>
      <c r="V18" s="13" t="s">
        <v>41</v>
      </c>
      <c r="W18" s="14">
        <v>228960</v>
      </c>
      <c r="X18" s="13" t="s">
        <v>33</v>
      </c>
      <c r="Y18" s="13" t="s">
        <v>56</v>
      </c>
      <c r="Z18" s="13">
        <v>5</v>
      </c>
      <c r="AA18" s="13" t="s">
        <v>200</v>
      </c>
    </row>
    <row r="19" spans="2:27">
      <c r="B19" s="13" t="s">
        <v>61</v>
      </c>
      <c r="C19" s="14">
        <v>195968</v>
      </c>
      <c r="D19" s="13" t="s">
        <v>33</v>
      </c>
      <c r="E19" s="13" t="s">
        <v>80</v>
      </c>
      <c r="F19" s="13">
        <v>5</v>
      </c>
      <c r="G19" s="13" t="s">
        <v>38</v>
      </c>
      <c r="L19" s="8" t="s">
        <v>41</v>
      </c>
      <c r="M19" s="95">
        <v>228960</v>
      </c>
      <c r="N19" s="8" t="s">
        <v>33</v>
      </c>
      <c r="O19" s="8" t="s">
        <v>53</v>
      </c>
      <c r="P19" s="8">
        <v>5</v>
      </c>
      <c r="Q19" s="8" t="s">
        <v>38</v>
      </c>
      <c r="V19" s="13" t="s">
        <v>41</v>
      </c>
      <c r="W19" s="14">
        <v>228961</v>
      </c>
      <c r="X19" s="13" t="s">
        <v>33</v>
      </c>
      <c r="Y19" s="13" t="s">
        <v>308</v>
      </c>
      <c r="Z19" s="13">
        <v>3</v>
      </c>
      <c r="AA19" s="13" t="s">
        <v>200</v>
      </c>
    </row>
    <row r="20" spans="2:27">
      <c r="B20" s="13" t="s">
        <v>32</v>
      </c>
      <c r="C20" s="14">
        <v>228373</v>
      </c>
      <c r="D20" s="13" t="s">
        <v>33</v>
      </c>
      <c r="E20" s="13" t="s">
        <v>34</v>
      </c>
      <c r="F20" s="13">
        <v>0</v>
      </c>
      <c r="G20" s="13" t="s">
        <v>35</v>
      </c>
      <c r="L20" s="8" t="s">
        <v>41</v>
      </c>
      <c r="M20" s="95">
        <v>228960</v>
      </c>
      <c r="N20" s="8" t="s">
        <v>33</v>
      </c>
      <c r="O20" s="8" t="s">
        <v>55</v>
      </c>
      <c r="P20" s="8">
        <v>5</v>
      </c>
      <c r="Q20" s="8" t="s">
        <v>38</v>
      </c>
      <c r="V20" s="13" t="s">
        <v>41</v>
      </c>
      <c r="W20" s="14">
        <v>228960</v>
      </c>
      <c r="X20" s="13" t="s">
        <v>33</v>
      </c>
      <c r="Y20" s="13" t="s">
        <v>58</v>
      </c>
      <c r="Z20" s="13">
        <v>5</v>
      </c>
      <c r="AA20" s="13" t="s">
        <v>35</v>
      </c>
    </row>
    <row r="21" spans="2:27">
      <c r="B21" s="13" t="s">
        <v>32</v>
      </c>
      <c r="C21" s="14">
        <v>260293</v>
      </c>
      <c r="D21" s="13" t="s">
        <v>33</v>
      </c>
      <c r="E21" s="13" t="s">
        <v>36</v>
      </c>
      <c r="F21" s="13">
        <v>0</v>
      </c>
      <c r="G21" s="13" t="s">
        <v>35</v>
      </c>
      <c r="L21" s="8" t="s">
        <v>41</v>
      </c>
      <c r="M21" s="95">
        <v>228960</v>
      </c>
      <c r="N21" s="8" t="s">
        <v>33</v>
      </c>
      <c r="O21" s="8" t="s">
        <v>56</v>
      </c>
      <c r="P21" s="8">
        <v>5</v>
      </c>
      <c r="Q21" s="8" t="s">
        <v>38</v>
      </c>
      <c r="V21" s="13" t="s">
        <v>41</v>
      </c>
      <c r="W21" s="14">
        <v>228961</v>
      </c>
      <c r="X21" s="13" t="s">
        <v>33</v>
      </c>
      <c r="Y21" s="13" t="s">
        <v>309</v>
      </c>
      <c r="Z21" s="13">
        <v>3</v>
      </c>
      <c r="AA21" s="13" t="s">
        <v>38</v>
      </c>
    </row>
    <row r="22" spans="2:27">
      <c r="B22" s="13" t="s">
        <v>32</v>
      </c>
      <c r="C22" s="14">
        <v>242852</v>
      </c>
      <c r="D22" s="13" t="s">
        <v>33</v>
      </c>
      <c r="E22" s="13" t="s">
        <v>37</v>
      </c>
      <c r="F22" s="13">
        <v>0</v>
      </c>
      <c r="G22" s="13" t="s">
        <v>38</v>
      </c>
      <c r="L22" s="8" t="s">
        <v>41</v>
      </c>
      <c r="M22" s="95">
        <v>228960</v>
      </c>
      <c r="N22" s="8" t="s">
        <v>33</v>
      </c>
      <c r="O22" s="8" t="s">
        <v>57</v>
      </c>
      <c r="P22" s="8">
        <v>3</v>
      </c>
      <c r="Q22" s="8" t="s">
        <v>38</v>
      </c>
      <c r="V22" s="13" t="s">
        <v>41</v>
      </c>
      <c r="W22" s="14">
        <v>228961</v>
      </c>
      <c r="X22" s="13" t="s">
        <v>33</v>
      </c>
      <c r="Y22" s="13" t="s">
        <v>310</v>
      </c>
      <c r="Z22" s="13">
        <v>3</v>
      </c>
      <c r="AA22" s="13" t="s">
        <v>77</v>
      </c>
    </row>
    <row r="23" spans="2:27">
      <c r="B23" s="13" t="s">
        <v>32</v>
      </c>
      <c r="C23" s="14">
        <v>251864</v>
      </c>
      <c r="D23" s="13" t="s">
        <v>33</v>
      </c>
      <c r="E23" s="13" t="s">
        <v>39</v>
      </c>
      <c r="F23" s="13">
        <v>3</v>
      </c>
      <c r="G23" s="13" t="s">
        <v>38</v>
      </c>
      <c r="L23" s="8" t="s">
        <v>41</v>
      </c>
      <c r="M23" s="95">
        <v>228960</v>
      </c>
      <c r="N23" s="8" t="s">
        <v>33</v>
      </c>
      <c r="O23" s="8" t="s">
        <v>58</v>
      </c>
      <c r="P23" s="8">
        <v>5</v>
      </c>
      <c r="Q23" s="8" t="s">
        <v>38</v>
      </c>
      <c r="V23" s="13" t="s">
        <v>61</v>
      </c>
      <c r="W23" s="14">
        <v>241399</v>
      </c>
      <c r="X23" s="13" t="s">
        <v>33</v>
      </c>
      <c r="Y23" s="13" t="s">
        <v>199</v>
      </c>
      <c r="Z23" s="13">
        <v>0</v>
      </c>
      <c r="AA23" s="13" t="s">
        <v>191</v>
      </c>
    </row>
    <row r="24" spans="2:27">
      <c r="B24" s="13" t="s">
        <v>32</v>
      </c>
      <c r="C24" s="14">
        <v>255494</v>
      </c>
      <c r="D24" s="13" t="s">
        <v>33</v>
      </c>
      <c r="E24" s="13" t="s">
        <v>40</v>
      </c>
      <c r="F24" s="13">
        <v>3</v>
      </c>
      <c r="G24" s="13" t="s">
        <v>38</v>
      </c>
      <c r="L24" s="8" t="s">
        <v>41</v>
      </c>
      <c r="M24" s="95">
        <v>228960</v>
      </c>
      <c r="N24" s="8" t="s">
        <v>33</v>
      </c>
      <c r="O24" s="8" t="s">
        <v>60</v>
      </c>
      <c r="P24" s="8">
        <v>5</v>
      </c>
      <c r="Q24" s="8" t="s">
        <v>38</v>
      </c>
      <c r="V24" s="13" t="s">
        <v>61</v>
      </c>
      <c r="W24" s="14">
        <v>241399</v>
      </c>
      <c r="X24" s="13" t="s">
        <v>33</v>
      </c>
      <c r="Y24" s="13" t="s">
        <v>311</v>
      </c>
      <c r="Z24" s="13">
        <v>5</v>
      </c>
      <c r="AA24" s="13" t="s">
        <v>38</v>
      </c>
    </row>
    <row r="25" spans="2:27">
      <c r="B25" s="13" t="s">
        <v>41</v>
      </c>
      <c r="C25" s="14">
        <v>228960</v>
      </c>
      <c r="D25" s="13" t="s">
        <v>33</v>
      </c>
      <c r="E25" s="13" t="s">
        <v>43</v>
      </c>
      <c r="F25" s="13">
        <v>0</v>
      </c>
      <c r="G25" s="13" t="s">
        <v>38</v>
      </c>
      <c r="L25" s="8" t="s">
        <v>61</v>
      </c>
      <c r="M25" s="95">
        <v>247298</v>
      </c>
      <c r="N25" s="8" t="s">
        <v>33</v>
      </c>
      <c r="O25" s="8" t="s">
        <v>198</v>
      </c>
      <c r="P25" s="8">
        <v>3</v>
      </c>
      <c r="Q25" s="8" t="s">
        <v>38</v>
      </c>
      <c r="V25" s="13" t="s">
        <v>61</v>
      </c>
      <c r="W25" s="14">
        <v>241399</v>
      </c>
      <c r="X25" s="13" t="s">
        <v>33</v>
      </c>
      <c r="Y25" s="13" t="s">
        <v>312</v>
      </c>
      <c r="Z25" s="13">
        <v>3</v>
      </c>
      <c r="AA25" s="13" t="s">
        <v>191</v>
      </c>
    </row>
    <row r="26" spans="2:27">
      <c r="B26" s="13" t="s">
        <v>41</v>
      </c>
      <c r="C26" s="14">
        <v>228960</v>
      </c>
      <c r="D26" s="13" t="s">
        <v>33</v>
      </c>
      <c r="E26" s="13" t="s">
        <v>44</v>
      </c>
      <c r="F26" s="13">
        <v>3</v>
      </c>
      <c r="G26" s="13" t="s">
        <v>38</v>
      </c>
      <c r="L26" s="8" t="s">
        <v>61</v>
      </c>
      <c r="M26" s="95">
        <v>195967</v>
      </c>
      <c r="N26" s="8" t="s">
        <v>33</v>
      </c>
      <c r="O26" s="8" t="s">
        <v>65</v>
      </c>
      <c r="P26" s="8">
        <v>3</v>
      </c>
      <c r="Q26" s="8" t="s">
        <v>38</v>
      </c>
      <c r="V26" s="13" t="s">
        <v>61</v>
      </c>
      <c r="W26" s="14">
        <v>195967</v>
      </c>
      <c r="X26" s="13" t="s">
        <v>33</v>
      </c>
      <c r="Y26" s="13" t="s">
        <v>65</v>
      </c>
      <c r="Z26" s="13">
        <v>3</v>
      </c>
      <c r="AA26" s="13" t="s">
        <v>200</v>
      </c>
    </row>
    <row r="27" spans="2:27">
      <c r="B27" s="13" t="s">
        <v>41</v>
      </c>
      <c r="C27" s="14">
        <v>228960</v>
      </c>
      <c r="D27" s="13" t="s">
        <v>33</v>
      </c>
      <c r="E27" s="13" t="s">
        <v>45</v>
      </c>
      <c r="F27" s="13">
        <v>5</v>
      </c>
      <c r="G27" s="13" t="s">
        <v>38</v>
      </c>
      <c r="L27" s="8" t="s">
        <v>61</v>
      </c>
      <c r="M27" s="95">
        <v>195967</v>
      </c>
      <c r="N27" s="8" t="s">
        <v>33</v>
      </c>
      <c r="O27" s="8" t="s">
        <v>66</v>
      </c>
      <c r="P27" s="8">
        <v>8</v>
      </c>
      <c r="Q27" s="8" t="s">
        <v>35</v>
      </c>
      <c r="V27" s="13" t="s">
        <v>61</v>
      </c>
      <c r="W27" s="14">
        <v>195967</v>
      </c>
      <c r="X27" s="13" t="s">
        <v>33</v>
      </c>
      <c r="Y27" s="13" t="s">
        <v>66</v>
      </c>
      <c r="Z27" s="13">
        <v>8</v>
      </c>
      <c r="AA27" s="13" t="s">
        <v>191</v>
      </c>
    </row>
    <row r="28" spans="2:27">
      <c r="B28" s="13" t="s">
        <v>41</v>
      </c>
      <c r="C28" s="14">
        <v>228960</v>
      </c>
      <c r="D28" s="13" t="s">
        <v>33</v>
      </c>
      <c r="E28" s="13" t="s">
        <v>46</v>
      </c>
      <c r="F28" s="13">
        <v>5</v>
      </c>
      <c r="G28" s="13" t="s">
        <v>38</v>
      </c>
      <c r="L28" s="8" t="s">
        <v>61</v>
      </c>
      <c r="M28" s="95">
        <v>241399</v>
      </c>
      <c r="N28" s="8" t="s">
        <v>33</v>
      </c>
      <c r="O28" s="8" t="s">
        <v>199</v>
      </c>
      <c r="P28" s="8">
        <v>0</v>
      </c>
      <c r="Q28" s="8" t="s">
        <v>42</v>
      </c>
      <c r="V28" s="13" t="s">
        <v>61</v>
      </c>
      <c r="W28" s="14">
        <v>195967</v>
      </c>
      <c r="X28" s="13" t="s">
        <v>33</v>
      </c>
      <c r="Y28" s="13" t="s">
        <v>313</v>
      </c>
      <c r="Z28" s="13">
        <v>3</v>
      </c>
      <c r="AA28" s="13" t="s">
        <v>200</v>
      </c>
    </row>
    <row r="29" spans="2:27">
      <c r="B29" s="13" t="s">
        <v>41</v>
      </c>
      <c r="C29" s="14">
        <v>228960</v>
      </c>
      <c r="D29" s="13" t="s">
        <v>33</v>
      </c>
      <c r="E29" s="13" t="s">
        <v>47</v>
      </c>
      <c r="F29" s="13">
        <v>3</v>
      </c>
      <c r="G29" s="13" t="s">
        <v>48</v>
      </c>
      <c r="L29" s="8" t="s">
        <v>61</v>
      </c>
      <c r="M29" s="95">
        <v>195968</v>
      </c>
      <c r="N29" s="8" t="s">
        <v>33</v>
      </c>
      <c r="O29" s="8" t="s">
        <v>72</v>
      </c>
      <c r="P29" s="8">
        <v>8</v>
      </c>
      <c r="Q29" s="8" t="s">
        <v>200</v>
      </c>
      <c r="V29" s="13" t="s">
        <v>61</v>
      </c>
      <c r="W29" s="14">
        <v>195967</v>
      </c>
      <c r="X29" s="13" t="s">
        <v>33</v>
      </c>
      <c r="Y29" s="13" t="s">
        <v>314</v>
      </c>
      <c r="Z29" s="13">
        <v>5</v>
      </c>
      <c r="AA29" s="13" t="s">
        <v>200</v>
      </c>
    </row>
    <row r="30" spans="2:27">
      <c r="B30" s="13" t="s">
        <v>41</v>
      </c>
      <c r="C30" s="14">
        <v>228960</v>
      </c>
      <c r="D30" s="13" t="s">
        <v>33</v>
      </c>
      <c r="E30" s="13" t="s">
        <v>49</v>
      </c>
      <c r="F30" s="13">
        <v>3</v>
      </c>
      <c r="G30" s="13" t="s">
        <v>48</v>
      </c>
      <c r="L30" s="8" t="s">
        <v>61</v>
      </c>
      <c r="M30" s="95">
        <v>195968</v>
      </c>
      <c r="N30" s="8" t="s">
        <v>33</v>
      </c>
      <c r="O30" s="8" t="s">
        <v>73</v>
      </c>
      <c r="P30" s="8">
        <v>5</v>
      </c>
      <c r="Q30" s="8" t="s">
        <v>38</v>
      </c>
      <c r="V30" s="13" t="s">
        <v>61</v>
      </c>
      <c r="W30" s="14">
        <v>195967</v>
      </c>
      <c r="X30" s="13" t="s">
        <v>33</v>
      </c>
      <c r="Y30" s="13" t="s">
        <v>315</v>
      </c>
      <c r="Z30" s="13">
        <v>5</v>
      </c>
      <c r="AA30" s="13" t="s">
        <v>200</v>
      </c>
    </row>
    <row r="31" spans="2:27">
      <c r="B31" s="13" t="s">
        <v>41</v>
      </c>
      <c r="C31" s="14">
        <v>228960</v>
      </c>
      <c r="D31" s="13" t="s">
        <v>33</v>
      </c>
      <c r="E31" s="13" t="s">
        <v>50</v>
      </c>
      <c r="F31" s="13">
        <v>3</v>
      </c>
      <c r="G31" s="13" t="s">
        <v>38</v>
      </c>
      <c r="L31" s="8" t="s">
        <v>61</v>
      </c>
      <c r="M31" s="95">
        <v>195968</v>
      </c>
      <c r="N31" s="8" t="s">
        <v>33</v>
      </c>
      <c r="O31" s="8" t="s">
        <v>74</v>
      </c>
      <c r="P31" s="8">
        <v>5</v>
      </c>
      <c r="Q31" s="8" t="s">
        <v>35</v>
      </c>
      <c r="V31" s="13" t="s">
        <v>61</v>
      </c>
      <c r="W31" s="14">
        <v>195968</v>
      </c>
      <c r="X31" s="13" t="s">
        <v>33</v>
      </c>
      <c r="Y31" s="13" t="s">
        <v>316</v>
      </c>
      <c r="Z31" s="13">
        <v>3</v>
      </c>
      <c r="AA31" s="13" t="s">
        <v>200</v>
      </c>
    </row>
    <row r="32" spans="2:27">
      <c r="B32" s="13" t="s">
        <v>41</v>
      </c>
      <c r="C32" s="14">
        <v>228960</v>
      </c>
      <c r="D32" s="13" t="s">
        <v>33</v>
      </c>
      <c r="E32" s="13" t="s">
        <v>51</v>
      </c>
      <c r="F32" s="13">
        <v>5</v>
      </c>
      <c r="G32" s="13" t="s">
        <v>38</v>
      </c>
      <c r="L32" s="8" t="s">
        <v>61</v>
      </c>
      <c r="M32" s="95">
        <v>195968</v>
      </c>
      <c r="N32" s="8" t="s">
        <v>33</v>
      </c>
      <c r="O32" s="8" t="s">
        <v>75</v>
      </c>
      <c r="P32" s="8">
        <v>5</v>
      </c>
      <c r="Q32" s="8" t="s">
        <v>38</v>
      </c>
      <c r="V32" s="13" t="s">
        <v>61</v>
      </c>
      <c r="W32" s="14">
        <v>195968</v>
      </c>
      <c r="X32" s="13" t="s">
        <v>33</v>
      </c>
      <c r="Y32" s="13" t="s">
        <v>68</v>
      </c>
      <c r="Z32" s="13">
        <v>5</v>
      </c>
      <c r="AA32" s="13" t="s">
        <v>200</v>
      </c>
    </row>
    <row r="33" spans="2:27">
      <c r="B33" s="13" t="s">
        <v>41</v>
      </c>
      <c r="C33" s="14">
        <v>228960</v>
      </c>
      <c r="D33" s="13" t="s">
        <v>33</v>
      </c>
      <c r="E33" s="13" t="s">
        <v>52</v>
      </c>
      <c r="F33" s="13">
        <v>3</v>
      </c>
      <c r="G33" s="13" t="s">
        <v>38</v>
      </c>
      <c r="L33" s="8" t="s">
        <v>61</v>
      </c>
      <c r="M33" s="95">
        <v>195968</v>
      </c>
      <c r="N33" s="8" t="s">
        <v>33</v>
      </c>
      <c r="O33" s="8" t="s">
        <v>76</v>
      </c>
      <c r="P33" s="8">
        <v>3</v>
      </c>
      <c r="Q33" s="8" t="s">
        <v>38</v>
      </c>
      <c r="V33" s="13" t="s">
        <v>61</v>
      </c>
      <c r="W33" s="14">
        <v>195968</v>
      </c>
      <c r="X33" s="13" t="s">
        <v>33</v>
      </c>
      <c r="Y33" s="13" t="s">
        <v>69</v>
      </c>
      <c r="Z33" s="13">
        <v>5</v>
      </c>
      <c r="AA33" s="13" t="s">
        <v>200</v>
      </c>
    </row>
    <row r="34" spans="2:27">
      <c r="B34" s="13" t="s">
        <v>41</v>
      </c>
      <c r="C34" s="14">
        <v>228960</v>
      </c>
      <c r="D34" s="13" t="s">
        <v>33</v>
      </c>
      <c r="E34" s="13" t="s">
        <v>53</v>
      </c>
      <c r="F34" s="13">
        <v>5</v>
      </c>
      <c r="G34" s="13" t="s">
        <v>38</v>
      </c>
      <c r="L34" s="8" t="s">
        <v>61</v>
      </c>
      <c r="M34" s="95">
        <v>195968</v>
      </c>
      <c r="N34" s="8" t="s">
        <v>33</v>
      </c>
      <c r="O34" s="8" t="s">
        <v>78</v>
      </c>
      <c r="P34" s="8">
        <v>3</v>
      </c>
      <c r="Q34" s="8" t="s">
        <v>38</v>
      </c>
      <c r="V34" s="13" t="s">
        <v>61</v>
      </c>
      <c r="W34" s="14">
        <v>195968</v>
      </c>
      <c r="X34" s="13" t="s">
        <v>33</v>
      </c>
      <c r="Y34" s="13" t="s">
        <v>70</v>
      </c>
      <c r="Z34" s="13">
        <v>5</v>
      </c>
      <c r="AA34" s="13" t="s">
        <v>200</v>
      </c>
    </row>
    <row r="35" spans="2:27">
      <c r="B35" s="13" t="s">
        <v>41</v>
      </c>
      <c r="C35" s="14">
        <v>228960</v>
      </c>
      <c r="D35" s="13" t="s">
        <v>33</v>
      </c>
      <c r="E35" s="13" t="s">
        <v>54</v>
      </c>
      <c r="F35" s="13">
        <v>5</v>
      </c>
      <c r="G35" s="13" t="s">
        <v>38</v>
      </c>
      <c r="L35" s="8" t="s">
        <v>61</v>
      </c>
      <c r="M35" s="95">
        <v>195968</v>
      </c>
      <c r="N35" s="8" t="s">
        <v>33</v>
      </c>
      <c r="O35" s="8" t="s">
        <v>201</v>
      </c>
      <c r="P35" s="8">
        <v>3</v>
      </c>
      <c r="Q35" s="8" t="s">
        <v>35</v>
      </c>
      <c r="V35" s="13" t="s">
        <v>61</v>
      </c>
      <c r="W35" s="14">
        <v>195968</v>
      </c>
      <c r="X35" s="13" t="s">
        <v>33</v>
      </c>
      <c r="Y35" s="13" t="s">
        <v>71</v>
      </c>
      <c r="Z35" s="13">
        <v>5</v>
      </c>
      <c r="AA35" s="13" t="s">
        <v>200</v>
      </c>
    </row>
    <row r="36" spans="2:27">
      <c r="B36" s="13" t="s">
        <v>41</v>
      </c>
      <c r="C36" s="14">
        <v>228960</v>
      </c>
      <c r="D36" s="13" t="s">
        <v>33</v>
      </c>
      <c r="E36" s="13" t="s">
        <v>55</v>
      </c>
      <c r="F36" s="13">
        <v>5</v>
      </c>
      <c r="G36" s="13" t="s">
        <v>38</v>
      </c>
      <c r="L36" s="8" t="s">
        <v>61</v>
      </c>
      <c r="M36" s="95">
        <v>195968</v>
      </c>
      <c r="N36" s="8" t="s">
        <v>33</v>
      </c>
      <c r="O36" s="8" t="s">
        <v>80</v>
      </c>
      <c r="P36" s="8">
        <v>5</v>
      </c>
      <c r="Q36" s="8" t="s">
        <v>200</v>
      </c>
      <c r="V36" s="13" t="s">
        <v>61</v>
      </c>
      <c r="W36" s="14">
        <v>195968</v>
      </c>
      <c r="X36" s="13" t="s">
        <v>33</v>
      </c>
      <c r="Y36" s="13" t="s">
        <v>72</v>
      </c>
      <c r="Z36" s="13">
        <v>8</v>
      </c>
      <c r="AA36" s="13" t="s">
        <v>200</v>
      </c>
    </row>
    <row r="37" spans="2:27">
      <c r="B37" s="13" t="s">
        <v>41</v>
      </c>
      <c r="C37" s="14">
        <v>228960</v>
      </c>
      <c r="D37" s="13" t="s">
        <v>33</v>
      </c>
      <c r="E37" s="13" t="s">
        <v>56</v>
      </c>
      <c r="F37" s="13">
        <v>5</v>
      </c>
      <c r="G37" s="13" t="s">
        <v>38</v>
      </c>
      <c r="L37" s="8" t="s">
        <v>61</v>
      </c>
      <c r="M37" s="95">
        <v>195968</v>
      </c>
      <c r="N37" s="8" t="s">
        <v>33</v>
      </c>
      <c r="O37" s="8" t="s">
        <v>202</v>
      </c>
      <c r="P37" s="8">
        <v>3</v>
      </c>
      <c r="Q37" s="8" t="s">
        <v>38</v>
      </c>
      <c r="V37" s="13" t="s">
        <v>61</v>
      </c>
      <c r="W37" s="14">
        <v>195968</v>
      </c>
      <c r="X37" s="13" t="s">
        <v>33</v>
      </c>
      <c r="Y37" s="13" t="s">
        <v>74</v>
      </c>
      <c r="Z37" s="13">
        <v>5</v>
      </c>
      <c r="AA37" s="13" t="s">
        <v>35</v>
      </c>
    </row>
    <row r="38" spans="2:27">
      <c r="B38" s="13" t="s">
        <v>41</v>
      </c>
      <c r="C38" s="14">
        <v>228960</v>
      </c>
      <c r="D38" s="13" t="s">
        <v>33</v>
      </c>
      <c r="E38" s="13" t="s">
        <v>57</v>
      </c>
      <c r="F38" s="13">
        <v>3</v>
      </c>
      <c r="G38" s="13" t="s">
        <v>38</v>
      </c>
      <c r="L38" s="8" t="s">
        <v>61</v>
      </c>
      <c r="M38" s="95">
        <v>195969</v>
      </c>
      <c r="N38" s="8" t="s">
        <v>33</v>
      </c>
      <c r="O38" s="8" t="s">
        <v>203</v>
      </c>
      <c r="P38" s="8">
        <v>5</v>
      </c>
      <c r="Q38" s="8" t="s">
        <v>38</v>
      </c>
      <c r="V38" s="13" t="s">
        <v>61</v>
      </c>
      <c r="W38" s="14">
        <v>195968</v>
      </c>
      <c r="X38" s="13" t="s">
        <v>33</v>
      </c>
      <c r="Y38" s="13" t="s">
        <v>317</v>
      </c>
      <c r="Z38" s="13">
        <v>5</v>
      </c>
      <c r="AA38" s="13" t="s">
        <v>200</v>
      </c>
    </row>
    <row r="39" spans="2:27">
      <c r="B39" s="13" t="s">
        <v>41</v>
      </c>
      <c r="C39" s="14">
        <v>228960</v>
      </c>
      <c r="D39" s="13" t="s">
        <v>33</v>
      </c>
      <c r="E39" s="13" t="s">
        <v>58</v>
      </c>
      <c r="F39" s="13">
        <v>5</v>
      </c>
      <c r="G39" s="13" t="s">
        <v>38</v>
      </c>
      <c r="L39" s="8" t="s">
        <v>64</v>
      </c>
      <c r="M39" s="95">
        <v>193289</v>
      </c>
      <c r="N39" s="8" t="s">
        <v>33</v>
      </c>
      <c r="O39" s="8" t="s">
        <v>299</v>
      </c>
      <c r="P39" s="8">
        <v>5</v>
      </c>
      <c r="Q39" s="8" t="s">
        <v>42</v>
      </c>
      <c r="V39" s="13" t="s">
        <v>61</v>
      </c>
      <c r="W39" s="14">
        <v>195968</v>
      </c>
      <c r="X39" s="13" t="s">
        <v>33</v>
      </c>
      <c r="Y39" s="13" t="s">
        <v>318</v>
      </c>
      <c r="Z39" s="13">
        <v>5</v>
      </c>
      <c r="AA39" s="13" t="s">
        <v>200</v>
      </c>
    </row>
    <row r="40" spans="2:27">
      <c r="B40" s="13" t="s">
        <v>41</v>
      </c>
      <c r="C40" s="14">
        <v>228960</v>
      </c>
      <c r="D40" s="13" t="s">
        <v>33</v>
      </c>
      <c r="E40" s="13" t="s">
        <v>59</v>
      </c>
      <c r="F40" s="13">
        <v>0</v>
      </c>
      <c r="G40" s="13" t="s">
        <v>38</v>
      </c>
      <c r="L40" s="8" t="s">
        <v>204</v>
      </c>
      <c r="M40" s="95">
        <v>240010</v>
      </c>
      <c r="N40" s="8" t="s">
        <v>33</v>
      </c>
      <c r="O40" s="8" t="s">
        <v>205</v>
      </c>
      <c r="P40" s="8">
        <v>0</v>
      </c>
      <c r="Q40" s="8" t="s">
        <v>42</v>
      </c>
      <c r="V40" s="13" t="s">
        <v>61</v>
      </c>
      <c r="W40" s="14">
        <v>195968</v>
      </c>
      <c r="X40" s="13" t="s">
        <v>33</v>
      </c>
      <c r="Y40" s="13" t="s">
        <v>319</v>
      </c>
      <c r="Z40" s="13">
        <v>5</v>
      </c>
      <c r="AA40" s="13" t="s">
        <v>200</v>
      </c>
    </row>
    <row r="41" spans="2:27">
      <c r="B41" s="13" t="s">
        <v>41</v>
      </c>
      <c r="C41" s="14">
        <v>228960</v>
      </c>
      <c r="D41" s="13" t="s">
        <v>33</v>
      </c>
      <c r="E41" s="13" t="s">
        <v>60</v>
      </c>
      <c r="F41" s="13">
        <v>5</v>
      </c>
      <c r="G41" s="13" t="s">
        <v>38</v>
      </c>
      <c r="L41" s="8" t="s">
        <v>204</v>
      </c>
      <c r="M41" s="95">
        <v>260486</v>
      </c>
      <c r="N41" s="8" t="s">
        <v>33</v>
      </c>
      <c r="O41" s="8" t="s">
        <v>206</v>
      </c>
      <c r="P41" s="8">
        <v>0</v>
      </c>
      <c r="Q41" s="8" t="s">
        <v>196</v>
      </c>
      <c r="V41" s="13" t="s">
        <v>61</v>
      </c>
      <c r="W41" s="14">
        <v>195968</v>
      </c>
      <c r="X41" s="13" t="s">
        <v>33</v>
      </c>
      <c r="Y41" s="13" t="s">
        <v>78</v>
      </c>
      <c r="Z41" s="13">
        <v>3</v>
      </c>
      <c r="AA41" s="13" t="s">
        <v>38</v>
      </c>
    </row>
    <row r="42" spans="2:27">
      <c r="L42" s="8" t="s">
        <v>208</v>
      </c>
      <c r="M42" s="95">
        <v>247821</v>
      </c>
      <c r="N42" s="8" t="s">
        <v>33</v>
      </c>
      <c r="O42" s="8" t="s">
        <v>209</v>
      </c>
      <c r="P42" s="8">
        <v>0</v>
      </c>
      <c r="Q42" s="8" t="s">
        <v>196</v>
      </c>
      <c r="V42" s="13" t="s">
        <v>61</v>
      </c>
      <c r="W42" s="14">
        <v>195968</v>
      </c>
      <c r="X42" s="13" t="s">
        <v>33</v>
      </c>
      <c r="Y42" s="13" t="s">
        <v>320</v>
      </c>
      <c r="Z42" s="13">
        <v>5</v>
      </c>
      <c r="AA42" s="13" t="s">
        <v>38</v>
      </c>
    </row>
    <row r="43" spans="2:27">
      <c r="V43" s="13" t="s">
        <v>61</v>
      </c>
      <c r="W43" s="14">
        <v>195968</v>
      </c>
      <c r="X43" s="13" t="s">
        <v>33</v>
      </c>
      <c r="Y43" s="13" t="s">
        <v>201</v>
      </c>
      <c r="Z43" s="13">
        <v>3</v>
      </c>
      <c r="AA43" s="13" t="s">
        <v>35</v>
      </c>
    </row>
    <row r="44" spans="2:27">
      <c r="V44" s="13" t="s">
        <v>61</v>
      </c>
      <c r="W44" s="14">
        <v>195968</v>
      </c>
      <c r="X44" s="13" t="s">
        <v>33</v>
      </c>
      <c r="Y44" s="13" t="s">
        <v>80</v>
      </c>
      <c r="Z44" s="13">
        <v>5</v>
      </c>
      <c r="AA44" s="13" t="s">
        <v>200</v>
      </c>
    </row>
    <row r="45" spans="2:27">
      <c r="V45" s="13" t="s">
        <v>61</v>
      </c>
      <c r="W45" s="14">
        <v>195968</v>
      </c>
      <c r="X45" s="13" t="s">
        <v>33</v>
      </c>
      <c r="Y45" s="13" t="s">
        <v>202</v>
      </c>
      <c r="Z45" s="13">
        <v>3</v>
      </c>
      <c r="AA45" s="13" t="s">
        <v>38</v>
      </c>
    </row>
    <row r="46" spans="2:27">
      <c r="V46" s="13" t="s">
        <v>61</v>
      </c>
      <c r="W46" s="14">
        <v>195969</v>
      </c>
      <c r="X46" s="13" t="s">
        <v>33</v>
      </c>
      <c r="Y46" s="13" t="s">
        <v>203</v>
      </c>
      <c r="Z46" s="13">
        <v>5</v>
      </c>
      <c r="AA46" s="13" t="s">
        <v>38</v>
      </c>
    </row>
    <row r="47" spans="2:27">
      <c r="V47" s="13" t="s">
        <v>61</v>
      </c>
      <c r="W47" s="14">
        <v>195969</v>
      </c>
      <c r="X47" s="13" t="s">
        <v>33</v>
      </c>
      <c r="Y47" s="13" t="s">
        <v>321</v>
      </c>
      <c r="Z47" s="13">
        <v>5</v>
      </c>
      <c r="AA47" s="13" t="s">
        <v>35</v>
      </c>
    </row>
    <row r="48" spans="2:27">
      <c r="V48" s="13" t="s">
        <v>61</v>
      </c>
      <c r="W48" s="14">
        <v>195969</v>
      </c>
      <c r="X48" s="13" t="s">
        <v>33</v>
      </c>
      <c r="Y48" s="13" t="s">
        <v>322</v>
      </c>
      <c r="Z48" s="13">
        <v>5</v>
      </c>
      <c r="AA48" s="13" t="s">
        <v>200</v>
      </c>
    </row>
    <row r="49" spans="22:27">
      <c r="V49" s="13" t="s">
        <v>64</v>
      </c>
      <c r="W49" s="14">
        <v>193289</v>
      </c>
      <c r="X49" s="13" t="s">
        <v>33</v>
      </c>
      <c r="Y49" s="13" t="s">
        <v>299</v>
      </c>
      <c r="Z49" s="13">
        <v>5</v>
      </c>
      <c r="AA49" s="13" t="s">
        <v>38</v>
      </c>
    </row>
    <row r="50" spans="22:27">
      <c r="V50" s="13" t="s">
        <v>204</v>
      </c>
      <c r="W50" s="14">
        <v>240010</v>
      </c>
      <c r="X50" s="13" t="s">
        <v>33</v>
      </c>
      <c r="Y50" s="13" t="s">
        <v>205</v>
      </c>
      <c r="Z50" s="13">
        <v>0</v>
      </c>
      <c r="AA50" s="13" t="s">
        <v>42</v>
      </c>
    </row>
    <row r="51" spans="22:27">
      <c r="V51" s="13" t="s">
        <v>204</v>
      </c>
      <c r="W51" s="14">
        <v>260486</v>
      </c>
      <c r="X51" s="13" t="s">
        <v>33</v>
      </c>
      <c r="Y51" s="13" t="s">
        <v>206</v>
      </c>
      <c r="Z51" s="13">
        <v>0</v>
      </c>
      <c r="AA51" s="13" t="s">
        <v>196</v>
      </c>
    </row>
    <row r="52" spans="22:27">
      <c r="V52" s="13" t="s">
        <v>208</v>
      </c>
      <c r="W52" s="14">
        <v>247821</v>
      </c>
      <c r="X52" s="13" t="s">
        <v>33</v>
      </c>
      <c r="Y52" s="13" t="s">
        <v>323</v>
      </c>
      <c r="Z52" s="13">
        <v>0</v>
      </c>
      <c r="AA52" s="13" t="s">
        <v>196</v>
      </c>
    </row>
  </sheetData>
  <sortState xmlns:xlrd2="http://schemas.microsoft.com/office/spreadsheetml/2017/richdata2" ref="B3:H41">
    <sortCondition ref="B3:B41"/>
  </sortState>
  <hyperlinks>
    <hyperlink ref="C20" r:id="rId1" display="https://youxelteam.visualstudio.com/CheckNow/_workitems/edit/228373/?view=edit" xr:uid="{701C925A-456C-1A4D-A563-4AE436117660}"/>
    <hyperlink ref="C21" r:id="rId2" display="https://youxelteam.visualstudio.com/CheckNow/_workitems/edit/260293/?view=edit" xr:uid="{34AC1FC5-DA15-1846-A0FF-2A951237BFC1}"/>
    <hyperlink ref="C22" r:id="rId3" display="https://youxelteam.visualstudio.com/CheckNow/_workitems/edit/242852/?view=edit" xr:uid="{7EE7ACC4-1963-1449-8F89-B55F1C0179AE}"/>
    <hyperlink ref="C23" r:id="rId4" display="https://youxelteam.visualstudio.com/CheckNow/_workitems/edit/251864/?view=edit" xr:uid="{CC038D40-85D4-9443-8F5C-B16B449ACA20}"/>
    <hyperlink ref="C24" r:id="rId5" display="https://youxelteam.visualstudio.com/CheckNow/_workitems/edit/255494/?view=edit" xr:uid="{099AEB9E-A564-284F-9D7F-96184D7E382B}"/>
    <hyperlink ref="C25" r:id="rId6" display="https://youxelteam.visualstudio.com/CheckNow/_workitems/edit/228960/?view=edit" xr:uid="{47DFDAD0-F7E5-6F4F-A8C7-D5E718FE7B42}"/>
    <hyperlink ref="C26" r:id="rId7" display="https://youxelteam.visualstudio.com/CheckNow/_workitems/edit/228960/?view=edit" xr:uid="{5DFF5BE9-D315-3647-8729-A0855D80B36B}"/>
    <hyperlink ref="C27" r:id="rId8" display="https://youxelteam.visualstudio.com/CheckNow/_workitems/edit/228960/?view=edit" xr:uid="{B233664D-6F81-B04C-ACB4-61D3D9B9E37F}"/>
    <hyperlink ref="C28" r:id="rId9" display="https://youxelteam.visualstudio.com/CheckNow/_workitems/edit/228960/?view=edit" xr:uid="{5E043B74-2F9C-CF4D-B723-478513F5D360}"/>
    <hyperlink ref="C29" r:id="rId10" display="https://youxelteam.visualstudio.com/CheckNow/_workitems/edit/228960/?view=edit" xr:uid="{B3CB40E5-5F92-4347-9627-95795D72975C}"/>
    <hyperlink ref="C30" r:id="rId11" display="https://youxelteam.visualstudio.com/CheckNow/_workitems/edit/228960/?view=edit" xr:uid="{432E4284-19DA-194D-9C5A-23E81FC92FCE}"/>
    <hyperlink ref="C31" r:id="rId12" display="https://youxelteam.visualstudio.com/CheckNow/_workitems/edit/228960/?view=edit" xr:uid="{1E8C09F0-866A-D14B-A01B-B579B420235B}"/>
    <hyperlink ref="C32" r:id="rId13" display="https://youxelteam.visualstudio.com/CheckNow/_workitems/edit/228960/?view=edit" xr:uid="{A935CD58-7156-1B4E-8C88-BA5B6E6BA5F2}"/>
    <hyperlink ref="C33" r:id="rId14" display="https://youxelteam.visualstudio.com/CheckNow/_workitems/edit/228960/?view=edit" xr:uid="{C6BDC46E-24E1-7A4B-A02B-AC4AECCCB214}"/>
    <hyperlink ref="C34" r:id="rId15" display="https://youxelteam.visualstudio.com/CheckNow/_workitems/edit/228960/?view=edit" xr:uid="{BECC9633-2A7E-3245-B160-E153296A22A0}"/>
    <hyperlink ref="C35" r:id="rId16" display="https://youxelteam.visualstudio.com/CheckNow/_workitems/edit/228960/?view=edit" xr:uid="{8F724E49-DF6B-5C45-8DA8-EA2A36607A50}"/>
    <hyperlink ref="C36" r:id="rId17" display="https://youxelteam.visualstudio.com/CheckNow/_workitems/edit/228960/?view=edit" xr:uid="{AE01D5A6-A6FE-0444-B086-7A1433D2274E}"/>
    <hyperlink ref="C37" r:id="rId18" display="https://youxelteam.visualstudio.com/CheckNow/_workitems/edit/228960/?view=edit" xr:uid="{68B798F4-BA80-A94B-9CA1-F8F77A7D68A4}"/>
    <hyperlink ref="C38" r:id="rId19" display="https://youxelteam.visualstudio.com/CheckNow/_workitems/edit/228960/?view=edit" xr:uid="{E4ADFA80-96FE-714B-9E12-46472D2DDA20}"/>
    <hyperlink ref="C39" r:id="rId20" display="https://youxelteam.visualstudio.com/CheckNow/_workitems/edit/228960/?view=edit" xr:uid="{29D3133A-38DD-0349-A67B-13A5AFCD8670}"/>
    <hyperlink ref="C40" r:id="rId21" display="https://youxelteam.visualstudio.com/CheckNow/_workitems/edit/228960/?view=edit" xr:uid="{324F54C3-1244-544D-9A24-666A03669A4D}"/>
    <hyperlink ref="C41" r:id="rId22" display="https://youxelteam.visualstudio.com/CheckNow/_workitems/edit/228960/?view=edit" xr:uid="{17CE62E5-FE35-4148-A073-E0FD61817CA8}"/>
    <hyperlink ref="C3" r:id="rId23" display="https://youxelteam.visualstudio.com/CheckNow/_workitems/edit/241399/?view=edit" xr:uid="{B2C443C0-5A78-3B40-9DB3-6DF0810F1D1E}"/>
    <hyperlink ref="C4" r:id="rId24" display="https://youxelteam.visualstudio.com/CheckNow/_workitems/edit/241399/?view=edit" xr:uid="{37BBA38D-37A9-DB44-876D-ED772051106C}"/>
    <hyperlink ref="C5" r:id="rId25" display="https://youxelteam.visualstudio.com/CheckNow/_workitems/edit/195967/?view=edit" xr:uid="{55357564-0FF3-3E41-8578-07407FA8AB18}"/>
    <hyperlink ref="C6" r:id="rId26" display="https://youxelteam.visualstudio.com/CheckNow/_workitems/edit/195967/?view=edit" xr:uid="{F6B70417-2936-4A4E-9BE6-D0C686B1D3B8}"/>
    <hyperlink ref="C7" r:id="rId27" display="https://youxelteam.visualstudio.com/CheckNow/_workitems/edit/195968/?view=edit" xr:uid="{703A29D4-61D3-AD42-8692-242FFD7E67D0}"/>
    <hyperlink ref="C8" r:id="rId28" display="https://youxelteam.visualstudio.com/CheckNow/_workitems/edit/195968/?view=edit" xr:uid="{45D61CE8-F8B2-164E-87E9-8E94946FD864}"/>
    <hyperlink ref="C9" r:id="rId29" display="https://youxelteam.visualstudio.com/CheckNow/_workitems/edit/195968/?view=edit" xr:uid="{E9DE1287-8664-9840-8CBC-34B6E346E619}"/>
    <hyperlink ref="C10" r:id="rId30" display="https://youxelteam.visualstudio.com/CheckNow/_workitems/edit/195968/?view=edit" xr:uid="{8F128322-BC3E-544E-B262-3A00827ED31C}"/>
    <hyperlink ref="C11" r:id="rId31" display="https://youxelteam.visualstudio.com/CheckNow/_workitems/edit/195968/?view=edit" xr:uid="{449CE2B2-C45A-5443-864F-8F74E14E7115}"/>
    <hyperlink ref="C12" r:id="rId32" display="https://youxelteam.visualstudio.com/CheckNow/_workitems/edit/195968/?view=edit" xr:uid="{4281C7E7-79C6-1F47-9C9C-173EF2748F84}"/>
    <hyperlink ref="C13" r:id="rId33" display="https://youxelteam.visualstudio.com/CheckNow/_workitems/edit/195968/?view=edit" xr:uid="{E0EA9E97-342A-A74B-A89A-83FEB7570EBD}"/>
    <hyperlink ref="C14" r:id="rId34" display="https://youxelteam.visualstudio.com/CheckNow/_workitems/edit/195968/?view=edit" xr:uid="{23A77CD7-228F-F746-ABCF-8A114E537AB9}"/>
    <hyperlink ref="C15" r:id="rId35" display="https://youxelteam.visualstudio.com/CheckNow/_workitems/edit/195968/?view=edit" xr:uid="{546AA223-8EF3-AD4C-A1A0-9F254C37B51C}"/>
    <hyperlink ref="C16" r:id="rId36" display="https://youxelteam.visualstudio.com/CheckNow/_workitems/edit/195968/?view=edit" xr:uid="{923AE79A-6DB1-8346-901C-0E681EFA4E23}"/>
    <hyperlink ref="C17" r:id="rId37" display="https://youxelteam.visualstudio.com/CheckNow/_workitems/edit/195968/?view=edit" xr:uid="{A62C7379-8925-1349-9BE6-99D57564DD0A}"/>
    <hyperlink ref="C18" r:id="rId38" display="https://youxelteam.visualstudio.com/CheckNow/_workitems/edit/195968/?view=edit" xr:uid="{DFE09A59-4D41-A64C-97A4-758F3832CC9A}"/>
    <hyperlink ref="C19" r:id="rId39" display="https://youxelteam.visualstudio.com/CheckNow/_workitems/edit/195968/?view=edit" xr:uid="{775EA65E-909A-8742-B4CB-9EE61D9969E6}"/>
    <hyperlink ref="M3" r:id="rId40" display="https://youxelteam.visualstudio.com/CheckNow/_workitems/edit/228373/?view=edit" xr:uid="{FCD1FD34-30CA-AE4F-BB85-499FF831A395}"/>
    <hyperlink ref="M4" r:id="rId41" display="https://youxelteam.visualstudio.com/CheckNow/_workitems/edit/260293/?view=edit" xr:uid="{C5C903A8-2C8E-6645-A3F9-9ADC5AEEEF86}"/>
    <hyperlink ref="M5" r:id="rId42" display="https://youxelteam.visualstudio.com/CheckNow/_workitems/edit/227974/?view=edit" xr:uid="{5B821FAF-FD4B-BF4A-B631-175401BFA891}"/>
    <hyperlink ref="M6" r:id="rId43" display="https://youxelteam.visualstudio.com/CheckNow/_workitems/edit/251864/?view=edit" xr:uid="{1A000AC4-3EE4-444E-A804-9D39F8CB0813}"/>
    <hyperlink ref="M7" r:id="rId44" display="https://youxelteam.visualstudio.com/CheckNow/_workitems/edit/228369/?view=edit" xr:uid="{ABEFA9AE-79BE-CE4E-9467-3446A4A5D19A}"/>
    <hyperlink ref="M8" r:id="rId45" display="https://youxelteam.visualstudio.com/CheckNow/_workitems/edit/255494/?view=edit" xr:uid="{E2809908-D269-B34D-85FD-4411B4992F5F}"/>
    <hyperlink ref="M9" r:id="rId46" display="https://youxelteam.visualstudio.com/CheckNow/_workitems/edit/227974/?view=edit" xr:uid="{1CAEBA03-489A-AD46-845E-BB758A4ED0C9}"/>
    <hyperlink ref="M10" r:id="rId47" display="https://youxelteam.visualstudio.com/CheckNow/_workitems/edit/242852/?view=edit" xr:uid="{8F9EC9BE-7892-2440-8E07-E9361B5FA7E1}"/>
    <hyperlink ref="M11" r:id="rId48" display="https://youxelteam.visualstudio.com/CheckNow/_workitems/edit/228964/?view=edit" xr:uid="{32668F45-8730-A946-8C84-F3A213B23FF1}"/>
    <hyperlink ref="M12" r:id="rId49" display="https://youxelteam.visualstudio.com/CheckNow/_workitems/edit/228964/?view=edit" xr:uid="{6F2D2FD6-228E-0E47-BA25-2EF2077BC041}"/>
    <hyperlink ref="M13" r:id="rId50" display="https://youxelteam.visualstudio.com/CheckNow/_workitems/edit/228960/?view=edit" xr:uid="{C903EB78-776D-7D49-9B3E-CDCFC0A2CEC9}"/>
    <hyperlink ref="M14" r:id="rId51" display="https://youxelteam.visualstudio.com/CheckNow/_workitems/edit/228960/?view=edit" xr:uid="{175660FA-528D-F849-9971-E625375F06E5}"/>
    <hyperlink ref="M15" r:id="rId52" display="https://youxelteam.visualstudio.com/CheckNow/_workitems/edit/228960/?view=edit" xr:uid="{A09F02EA-13DE-8541-A8FF-82CFF3D7B40B}"/>
    <hyperlink ref="M16" r:id="rId53" display="https://youxelteam.visualstudio.com/CheckNow/_workitems/edit/228960/?view=edit" xr:uid="{45D0433C-08CB-1348-A172-222A903BF994}"/>
    <hyperlink ref="M17" r:id="rId54" display="https://youxelteam.visualstudio.com/CheckNow/_workitems/edit/228960/?view=edit" xr:uid="{815D9A28-4D23-CD46-A9EB-FBA0C05DF384}"/>
    <hyperlink ref="M18" r:id="rId55" display="https://youxelteam.visualstudio.com/CheckNow/_workitems/edit/228960/?view=edit" xr:uid="{AB175F34-D207-F54B-9FD1-59CB0C4FD3CA}"/>
    <hyperlink ref="M19" r:id="rId56" display="https://youxelteam.visualstudio.com/CheckNow/_workitems/edit/228960/?view=edit" xr:uid="{F4A2DD07-8476-1146-9051-B878310B76EC}"/>
    <hyperlink ref="M20" r:id="rId57" display="https://youxelteam.visualstudio.com/CheckNow/_workitems/edit/228960/?view=edit" xr:uid="{CDE424AF-636C-DC40-8810-58BCAD84F393}"/>
    <hyperlink ref="M21" r:id="rId58" display="https://youxelteam.visualstudio.com/CheckNow/_workitems/edit/228960/?view=edit" xr:uid="{6016578D-59B0-1642-985F-20554112D9C4}"/>
    <hyperlink ref="M22" r:id="rId59" display="https://youxelteam.visualstudio.com/CheckNow/_workitems/edit/228960/?view=edit" xr:uid="{DD05B01C-48E3-0645-BC30-F46A6EAB73AB}"/>
    <hyperlink ref="M23" r:id="rId60" display="https://youxelteam.visualstudio.com/CheckNow/_workitems/edit/228960/?view=edit" xr:uid="{A2DB6E20-8D36-CC4B-AF69-00E66092C3CE}"/>
    <hyperlink ref="M24" r:id="rId61" display="https://youxelteam.visualstudio.com/CheckNow/_workitems/edit/228960/?view=edit" xr:uid="{15ADE8E7-F8FC-6E41-9A9E-CB3DBB8C09BC}"/>
    <hyperlink ref="M25" r:id="rId62" display="https://youxelteam.visualstudio.com/CheckNow/_workitems/edit/247298/?view=edit" xr:uid="{E489AC38-7E1C-1744-8D15-E54BC7837470}"/>
    <hyperlink ref="M26" r:id="rId63" display="https://youxelteam.visualstudio.com/CheckNow/_workitems/edit/195967/?view=edit" xr:uid="{92C16157-EEB6-3E47-AB7A-928CB7587C1C}"/>
    <hyperlink ref="M27" r:id="rId64" display="https://youxelteam.visualstudio.com/CheckNow/_workitems/edit/195967/?view=edit" xr:uid="{788D9D92-F577-AF44-9833-E569A521130F}"/>
    <hyperlink ref="M28" r:id="rId65" display="https://youxelteam.visualstudio.com/CheckNow/_workitems/edit/241399/?view=edit" xr:uid="{43539AD7-52C5-4E41-9A41-36B5AD88C9CC}"/>
    <hyperlink ref="M29" r:id="rId66" display="https://youxelteam.visualstudio.com/CheckNow/_workitems/edit/195968/?view=edit" xr:uid="{66AE848E-93F3-C446-9E3D-ACAEB5D410C2}"/>
    <hyperlink ref="M30" r:id="rId67" display="https://youxelteam.visualstudio.com/CheckNow/_workitems/edit/195968/?view=edit" xr:uid="{F6E0B9E5-1B0A-0F4A-9E6E-F68D899D2488}"/>
    <hyperlink ref="M31" r:id="rId68" display="https://youxelteam.visualstudio.com/CheckNow/_workitems/edit/195968/?view=edit" xr:uid="{04C57CFB-FFD0-7944-AF76-38CD521DAF33}"/>
    <hyperlink ref="M32" r:id="rId69" display="https://youxelteam.visualstudio.com/CheckNow/_workitems/edit/195968/?view=edit" xr:uid="{530DC408-370C-4B4D-A2C5-262AE8E9FBC6}"/>
    <hyperlink ref="M33" r:id="rId70" display="https://youxelteam.visualstudio.com/CheckNow/_workitems/edit/195968/?view=edit" xr:uid="{53969707-E690-484E-AF15-9B4163B405FA}"/>
    <hyperlink ref="M34" r:id="rId71" display="https://youxelteam.visualstudio.com/CheckNow/_workitems/edit/195968/?view=edit" xr:uid="{46D30FAF-B7FC-0C46-A023-C61FD3727E0C}"/>
    <hyperlink ref="M35" r:id="rId72" display="https://youxelteam.visualstudio.com/CheckNow/_workitems/edit/195968/?view=edit" xr:uid="{2B9BA4FD-C974-2F49-87E7-46002A860764}"/>
    <hyperlink ref="M36" r:id="rId73" display="https://youxelteam.visualstudio.com/CheckNow/_workitems/edit/195968/?view=edit" xr:uid="{BD684B96-6F4F-AE47-B7D5-49E485029E95}"/>
    <hyperlink ref="M37" r:id="rId74" display="https://youxelteam.visualstudio.com/CheckNow/_workitems/edit/195968/?view=edit" xr:uid="{3182FB53-0AAE-A24E-B6B2-0748CEB2A73F}"/>
    <hyperlink ref="M38" r:id="rId75" display="https://youxelteam.visualstudio.com/CheckNow/_workitems/edit/195969/?view=edit" xr:uid="{1D656519-F897-EA4B-B513-65B29785F54B}"/>
    <hyperlink ref="M39" r:id="rId76" display="https://youxelteam.visualstudio.com/CheckNow/_workitems/edit/193289/?view=edit" xr:uid="{655AB0C6-D254-8349-8613-27043949FB83}"/>
    <hyperlink ref="M40" r:id="rId77" display="https://youxelteam.visualstudio.com/CheckNow/_workitems/edit/240010/?view=edit" xr:uid="{1AB0D978-AAE9-A64F-946A-A534EC2A81B0}"/>
    <hyperlink ref="M41" r:id="rId78" display="https://youxelteam.visualstudio.com/CheckNow/_workitems/edit/260486/?view=edit" xr:uid="{42D24098-3A91-9049-BCCF-631FA2D0E84F}"/>
    <hyperlink ref="M42" r:id="rId79" display="https://youxelteam.visualstudio.com/CheckNow/_workitems/edit/247821/?view=edit" xr:uid="{C7C5F46A-B1C6-0343-A870-3DFE191A9E24}"/>
    <hyperlink ref="W3" r:id="rId80" display="https://youxelteam.visualstudio.com/CheckNow/_workitems/edit/260293/?view=edit" xr:uid="{AFAE7650-B0E2-704A-957C-F9518396B54C}"/>
    <hyperlink ref="W4" r:id="rId81" display="https://youxelteam.visualstudio.com/CheckNow/_workitems/edit/227974/?view=edit" xr:uid="{424F27B7-5D81-7740-80E2-502106A1F864}"/>
    <hyperlink ref="W5" r:id="rId82" display="https://youxelteam.visualstudio.com/CheckNow/_workitems/edit/228363/?view=edit" xr:uid="{1330B86A-B741-7544-9C9E-2057D3F84371}"/>
    <hyperlink ref="W6" r:id="rId83" display="https://youxelteam.visualstudio.com/CheckNow/_workitems/edit/228369/?view=edit" xr:uid="{39C75023-8F1F-9F4D-83AF-5E1ACB4A6585}"/>
    <hyperlink ref="W7" r:id="rId84" display="https://youxelteam.visualstudio.com/CheckNow/_workitems/edit/255494/?view=edit" xr:uid="{1C45D379-438C-9644-B56D-0ACD998D9E07}"/>
    <hyperlink ref="W8" r:id="rId85" display="https://youxelteam.visualstudio.com/CheckNow/_workitems/edit/227974/?view=edit" xr:uid="{4BDAB7F8-9877-4B4C-B94A-7AEAA343F1BD}"/>
    <hyperlink ref="W9" r:id="rId86" display="https://youxelteam.visualstudio.com/CheckNow/_workitems/edit/228964/?view=edit" xr:uid="{9722B65D-A520-1F47-B23E-A55EC2FA02C3}"/>
    <hyperlink ref="W10" r:id="rId87" display="https://youxelteam.visualstudio.com/CheckNow/_workitems/edit/228960/?view=edit" xr:uid="{098EEDEE-B100-D847-AF5C-DC8A9D2FDB78}"/>
    <hyperlink ref="W11" r:id="rId88" display="https://youxelteam.visualstudio.com/CheckNow/_workitems/edit/228960/?view=edit" xr:uid="{878A6147-CDB7-564E-AFEC-0E9394336291}"/>
    <hyperlink ref="W12" r:id="rId89" display="https://youxelteam.visualstudio.com/CheckNow/_workitems/edit/228960/?view=edit" xr:uid="{C3BF45FB-56B6-D24B-BFA2-7AE834D61434}"/>
    <hyperlink ref="W13" r:id="rId90" display="https://youxelteam.visualstudio.com/CheckNow/_workitems/edit/228960/?view=edit" xr:uid="{A5989783-19DF-1D4C-A875-1EAE7AB09299}"/>
    <hyperlink ref="W14" r:id="rId91" display="https://youxelteam.visualstudio.com/CheckNow/_workitems/edit/228960/?view=edit" xr:uid="{0664FB62-9084-5849-BB8C-E4BF253369E1}"/>
    <hyperlink ref="W15" r:id="rId92" display="https://youxelteam.visualstudio.com/CheckNow/_workitems/edit/228960/?view=edit" xr:uid="{7D03F32B-D89F-D446-B98D-B009862268DF}"/>
    <hyperlink ref="W16" r:id="rId93" display="https://youxelteam.visualstudio.com/CheckNow/_workitems/edit/228960/?view=edit" xr:uid="{1985A98A-46AC-B048-AE56-6C5906818180}"/>
    <hyperlink ref="W17" r:id="rId94" display="https://youxelteam.visualstudio.com/CheckNow/_workitems/edit/228960/?view=edit" xr:uid="{022ED4B5-2254-3C44-8EE9-9AEAD1088683}"/>
    <hyperlink ref="W18" r:id="rId95" display="https://youxelteam.visualstudio.com/CheckNow/_workitems/edit/228960/?view=edit" xr:uid="{F176AAB5-ADB5-DF42-BADB-424D89AE950F}"/>
    <hyperlink ref="W19" r:id="rId96" display="https://youxelteam.visualstudio.com/CheckNow/_workitems/edit/228961/?view=edit" xr:uid="{97F06721-57A7-654B-99A5-2D475A511AE6}"/>
    <hyperlink ref="W20" r:id="rId97" display="https://youxelteam.visualstudio.com/CheckNow/_workitems/edit/228960/?view=edit" xr:uid="{9253B6D7-489F-8C45-AAEF-FDF73CF788A6}"/>
    <hyperlink ref="W21" r:id="rId98" display="https://youxelteam.visualstudio.com/CheckNow/_workitems/edit/228961/?view=edit" xr:uid="{683A5A41-AA7F-3445-876A-594D9F603DA0}"/>
    <hyperlink ref="W22" r:id="rId99" display="https://youxelteam.visualstudio.com/CheckNow/_workitems/edit/228961/?view=edit" xr:uid="{C17090D4-0D44-D145-AC45-29C9A142528D}"/>
    <hyperlink ref="W23" r:id="rId100" display="https://youxelteam.visualstudio.com/CheckNow/_workitems/edit/241399/?view=edit" xr:uid="{511E3D35-A0A0-C44D-82C4-A50015564D78}"/>
    <hyperlink ref="W24" r:id="rId101" display="https://youxelteam.visualstudio.com/CheckNow/_workitems/edit/241399/?view=edit" xr:uid="{6B6FA69C-72A4-DD44-AD9B-FF7E536585C7}"/>
    <hyperlink ref="W25" r:id="rId102" display="https://youxelteam.visualstudio.com/CheckNow/_workitems/edit/241399/?view=edit" xr:uid="{3FA083A6-0B0F-FE4F-A9F8-DB7B1BFE29BA}"/>
    <hyperlink ref="W26" r:id="rId103" display="https://youxelteam.visualstudio.com/CheckNow/_workitems/edit/195967/?view=edit" xr:uid="{7F14BAD7-1120-7A40-AF5E-CEABE858212B}"/>
    <hyperlink ref="W27" r:id="rId104" display="https://youxelteam.visualstudio.com/CheckNow/_workitems/edit/195967/?view=edit" xr:uid="{54415419-AD60-AE47-845B-141BA16AD8C0}"/>
    <hyperlink ref="W28" r:id="rId105" display="https://youxelteam.visualstudio.com/CheckNow/_workitems/edit/195967/?view=edit" xr:uid="{ABAC4110-2593-F248-BD8A-88D388E3B85E}"/>
    <hyperlink ref="W29" r:id="rId106" display="https://youxelteam.visualstudio.com/CheckNow/_workitems/edit/195967/?view=edit" xr:uid="{F6FA8D67-CAF6-AB4B-B2A6-F41BEB4EB036}"/>
    <hyperlink ref="W30" r:id="rId107" display="https://youxelteam.visualstudio.com/CheckNow/_workitems/edit/195967/?view=edit" xr:uid="{28CF8891-DAAF-3545-BD5F-E9332FFB7D2F}"/>
    <hyperlink ref="W31" r:id="rId108" display="https://youxelteam.visualstudio.com/CheckNow/_workitems/edit/195968/?view=edit" xr:uid="{FEC01E21-235C-5941-BEA1-AE222B7D2195}"/>
    <hyperlink ref="W32" r:id="rId109" display="https://youxelteam.visualstudio.com/CheckNow/_workitems/edit/195968/?view=edit" xr:uid="{E4E0E7C5-F40F-7946-834C-5851810FCAA9}"/>
    <hyperlink ref="W33" r:id="rId110" display="https://youxelteam.visualstudio.com/CheckNow/_workitems/edit/195968/?view=edit" xr:uid="{C92BA6B1-AB9D-BE49-9998-152314BC6C03}"/>
    <hyperlink ref="W34" r:id="rId111" display="https://youxelteam.visualstudio.com/CheckNow/_workitems/edit/195968/?view=edit" xr:uid="{2A0BADE3-3A87-0647-9C54-A26E18FD9358}"/>
    <hyperlink ref="W35" r:id="rId112" display="https://youxelteam.visualstudio.com/CheckNow/_workitems/edit/195968/?view=edit" xr:uid="{905619FC-8713-A244-A33C-55AEE8CF9A73}"/>
    <hyperlink ref="W36" r:id="rId113" display="https://youxelteam.visualstudio.com/CheckNow/_workitems/edit/195968/?view=edit" xr:uid="{E27E2449-E2F1-B24D-BEB6-F1F1513AF335}"/>
    <hyperlink ref="W37" r:id="rId114" display="https://youxelteam.visualstudio.com/CheckNow/_workitems/edit/195968/?view=edit" xr:uid="{78A50B59-73CD-EB45-9C34-4D81F1717726}"/>
    <hyperlink ref="W38" r:id="rId115" display="https://youxelteam.visualstudio.com/CheckNow/_workitems/edit/195968/?view=edit" xr:uid="{31CF118C-64C6-7241-8AE5-26023E82B4D8}"/>
    <hyperlink ref="W39" r:id="rId116" display="https://youxelteam.visualstudio.com/CheckNow/_workitems/edit/195968/?view=edit" xr:uid="{EA1ACDFA-F27E-BB45-9360-311C87FB2729}"/>
    <hyperlink ref="W40" r:id="rId117" display="https://youxelteam.visualstudio.com/CheckNow/_workitems/edit/195968/?view=edit" xr:uid="{F8C37254-E485-C941-A40C-4B4D6AD7163B}"/>
    <hyperlink ref="W41" r:id="rId118" display="https://youxelteam.visualstudio.com/CheckNow/_workitems/edit/195968/?view=edit" xr:uid="{A7C88950-EBA7-2F43-B9C1-51A3F63CDF8D}"/>
    <hyperlink ref="W42" r:id="rId119" display="https://youxelteam.visualstudio.com/CheckNow/_workitems/edit/195968/?view=edit" xr:uid="{4E9FEBC1-45EB-EB48-A83E-23B4BBB82F33}"/>
    <hyperlink ref="W43" r:id="rId120" display="https://youxelteam.visualstudio.com/CheckNow/_workitems/edit/195968/?view=edit" xr:uid="{02F398D0-0776-CF41-AC53-61EA78B01EDB}"/>
    <hyperlink ref="W44" r:id="rId121" display="https://youxelteam.visualstudio.com/CheckNow/_workitems/edit/195968/?view=edit" xr:uid="{06134874-45DF-1F4C-929F-1CD76AD219D9}"/>
    <hyperlink ref="W45" r:id="rId122" display="https://youxelteam.visualstudio.com/CheckNow/_workitems/edit/195968/?view=edit" xr:uid="{DE1F00CC-DDDC-294C-AF14-79A5E8B8941E}"/>
    <hyperlink ref="W46" r:id="rId123" display="https://youxelteam.visualstudio.com/CheckNow/_workitems/edit/195969/?view=edit" xr:uid="{CC262C51-77D8-6240-B9BF-6811105BECC9}"/>
    <hyperlink ref="W47" r:id="rId124" display="https://youxelteam.visualstudio.com/CheckNow/_workitems/edit/195969/?view=edit" xr:uid="{5BB9A6DB-4A17-5C43-9F62-7EC726411803}"/>
    <hyperlink ref="W48" r:id="rId125" display="https://youxelteam.visualstudio.com/CheckNow/_workitems/edit/195969/?view=edit" xr:uid="{91FC6305-F59F-E644-9920-B61C2EA40A76}"/>
    <hyperlink ref="W49" r:id="rId126" display="https://youxelteam.visualstudio.com/CheckNow/_workitems/edit/193289/?view=edit" xr:uid="{BE5878A1-6B46-0C45-9EE5-E77531CAA35A}"/>
    <hyperlink ref="W50" r:id="rId127" display="https://youxelteam.visualstudio.com/CheckNow/_workitems/edit/240010/?view=edit" xr:uid="{3E08E067-F68F-6541-AC65-81AECE31B5E4}"/>
    <hyperlink ref="W51" r:id="rId128" display="https://youxelteam.visualstudio.com/CheckNow/_workitems/edit/260486/?view=edit" xr:uid="{FBD95420-56AD-8140-8304-C3AB55E5CA5D}"/>
    <hyperlink ref="W52" r:id="rId129" display="https://youxelteam.visualstudio.com/CheckNow/_workitems/edit/247821/?view=edit" xr:uid="{9EA5EE45-3CC9-B942-AADA-5852E4D66C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Staff Dashboard</vt:lpstr>
      <vt:lpstr>Team Dashboard</vt:lpstr>
      <vt:lpstr>Data</vt:lpstr>
      <vt:lpstr>Analysis</vt:lpstr>
      <vt:lpstr>Kpi Indicators Per Staff</vt:lpstr>
      <vt:lpstr>Kpi Indicators Per Team</vt:lpstr>
      <vt:lpstr>Check Now 26.17 Full Analysis</vt:lpstr>
      <vt:lpstr>Kpi Indicators</vt:lpstr>
      <vt:lpstr>Capacity</vt:lpstr>
      <vt:lpstr>Check Now 26.17</vt:lpstr>
      <vt:lpstr>Check Now 26.17 Analysis</vt:lpstr>
      <vt:lpstr>CMMI Template</vt:lpstr>
      <vt:lpstr> CMMI Productivity</vt:lpstr>
      <vt:lpstr>Actual 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Moussa</dc:creator>
  <cp:lastModifiedBy>Khaled Moussa</cp:lastModifiedBy>
  <dcterms:created xsi:type="dcterms:W3CDTF">2026-01-09T13:24:49Z</dcterms:created>
  <dcterms:modified xsi:type="dcterms:W3CDTF">2026-02-13T21:36:44Z</dcterms:modified>
</cp:coreProperties>
</file>